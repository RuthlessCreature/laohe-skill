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f9829ed7df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9a8ee82f0794cac"/>
    <x:sheet xmlns:r="http://schemas.openxmlformats.org/officeDocument/2006/relationships" name="Lifecycle" sheetId="2" r:id="R2edc90535e0641c0"/>
    <x:sheet xmlns:r="http://schemas.openxmlformats.org/officeDocument/2006/relationships" name="Idea Bank" sheetId="3" r:id="R77817b78f12f46c1"/>
    <x:sheet xmlns:r="http://schemas.openxmlformats.org/officeDocument/2006/relationships" name="Finance" sheetId="4" r:id="Re1bb3722c7994d96"/>
    <x:sheet xmlns:r="http://schemas.openxmlformats.org/officeDocument/2006/relationships" name="Pricing" sheetId="5" r:id="R6835f7169b95497f"/>
    <x:sheet xmlns:r="http://schemas.openxmlformats.org/officeDocument/2006/relationships" name="Pipeline" sheetId="6" r:id="R8e72c1269b624b2e"/>
    <x:sheet xmlns:r="http://schemas.openxmlformats.org/officeDocument/2006/relationships" name="Risks" sheetId="7" r:id="R50f84ef06277453a"/>
    <x:sheet xmlns:r="http://schemas.openxmlformats.org/officeDocument/2006/relationships" name="Launch" sheetId="8" r:id="R73c33227d792412e"/>
    <x:sheet xmlns:r="http://schemas.openxmlformats.org/officeDocument/2006/relationships" name="Customer ROI" sheetId="9" r:id="Rf37830ecda3449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$#,##0"/>
    <x:numFmt numFmtId="201" formatCode="0.0"/>
    <x:numFmt numFmtId="202" formatCode="0.0x"/>
    <x:numFmt numFmtId="203" formatCode="yyyy-mm-dd"/>
    <x:numFmt numFmtId="204" formatCode="0.00"/>
    <x:numFmt numFmtId="205" formatCode="0"/>
    <x:numFmt numFmtId="206" formatCode="0.0%"/>
    <x:numFmt numFmtId="207" formatCode="0%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E2E8F0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d32ab5b9444e6f" /><Relationship Type="http://schemas.openxmlformats.org/officeDocument/2006/relationships/theme" Target="/xl/theme/theme1.xml" Id="R09d5c580ef234497" /><Relationship Type="http://schemas.openxmlformats.org/officeDocument/2006/relationships/sharedStrings" Target="/xl/sharedStrings.xml" Id="Rc67400d7aa88483f" /><Relationship Type="http://schemas.openxmlformats.org/officeDocument/2006/relationships/worksheet" Target="/xl/worksheets/sheet1.xml" Id="Rd9a8ee82f0794cac" /><Relationship Type="http://schemas.openxmlformats.org/officeDocument/2006/relationships/worksheet" Target="/xl/worksheets/sheet2.xml" Id="R2edc90535e0641c0" /><Relationship Type="http://schemas.openxmlformats.org/officeDocument/2006/relationships/worksheet" Target="/xl/worksheets/sheet3.xml" Id="R77817b78f12f46c1" /><Relationship Type="http://schemas.openxmlformats.org/officeDocument/2006/relationships/worksheet" Target="/xl/worksheets/sheet4.xml" Id="Re1bb3722c7994d96" /><Relationship Type="http://schemas.openxmlformats.org/officeDocument/2006/relationships/worksheet" Target="/xl/worksheets/sheet5.xml" Id="R6835f7169b95497f" /><Relationship Type="http://schemas.openxmlformats.org/officeDocument/2006/relationships/worksheet" Target="/xl/worksheets/sheet6.xml" Id="R8e72c1269b624b2e" /><Relationship Type="http://schemas.openxmlformats.org/officeDocument/2006/relationships/worksheet" Target="/xl/worksheets/sheet7.xml" Id="R50f84ef06277453a" /><Relationship Type="http://schemas.openxmlformats.org/officeDocument/2006/relationships/worksheet" Target="/xl/worksheets/sheet8.xml" Id="R73c33227d792412e" /><Relationship Type="http://schemas.openxmlformats.org/officeDocument/2006/relationships/worksheet" Target="/xl/worksheets/sheet9.xml" Id="Rf37830ecda3449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6e6f8fb75a47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MRR and Gross Profit by Scenario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MRR</c:v>
          </c:tx>
          <c:cat>
            <c:strRef>
              <c:f>'Finance'!$H$4:$H$6</c:f>
              <c:strCache>
                <c:ptCount val="0"/>
              </c:strCache>
            </c:strRef>
          </c:cat>
          <c:val>
            <c:numRef>
              <c:f>'Finance'!$I$4:$I$6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Gross Profit</c:v>
          </c:tx>
          <c:cat>
            <c:strRef>
              <c:f>'Finance'!$H$4:$H$6</c:f>
              <c:strCache>
                <c:ptCount val="0"/>
              </c:strCache>
            </c:strRef>
          </c:cat>
          <c:val>
            <c:numRef>
              <c:f>'Finance'!$J$4:$J$6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6e6f8fb75a47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UseTable" displayName="DashboardUseTable" ref="A10:H17" headerRowCount="1">
  <x:autoFilter ref="A10:H17"/>
  <x:tableColumns count="8">
    <x:tableColumn id="1" name="Recommended use"/>
    <x:tableColumn id="2" name="Internal Markdown"/>
    <x:tableColumn id="3" name="Customer Excel"/>
    <x:tableColumn id="4" name="Decision Gate"/>
    <x:tableColumn id="5" name="Evidence"/>
    <x:tableColumn id="6" name="Owner"/>
    <x:tableColumn id="7" name="Due"/>
    <x:tableColumn id="8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LifecycleTable" displayName="LifecycleTable" ref="A3:G14" headerRowCount="1">
  <x:autoFilter ref="A3:G14"/>
  <x:tableColumns count="7">
    <x:tableColumn id="1" name="Phase"/>
    <x:tableColumn id="2" name="Artifact"/>
    <x:tableColumn id="3" name="Owner"/>
    <x:tableColumn id="4" name="Start"/>
    <x:tableColumn id="5" name="Due"/>
    <x:tableColumn id="6" name="Exit Criteria"/>
    <x:tableColumn id="7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IdeaBankTable" displayName="IdeaBankTable" ref="A3:P6" headerRowCount="1">
  <x:autoFilter ref="A3:P6"/>
  <x:tableColumns count="16">
    <x:tableColumn id="1" name="Idea"/>
    <x:tableColumn id="2" name="Cross-domain Combo"/>
    <x:tableColumn id="3" name="Engineering Lever"/>
    <x:tableColumn id="4" name="Buyer/User"/>
    <x:tableColumn id="5" name="Distribution"/>
    <x:tableColumn id="6" name="Monetization"/>
    <x:tableColumn id="7" name="D"/>
    <x:tableColumn id="8" name="M"/>
    <x:tableColumn id="9" name="F"/>
    <x:tableColumn id="10" name="V"/>
    <x:tableColumn id="11" name="S"/>
    <x:tableColumn id="12" name="R"/>
    <x:tableColumn id="13" name="X"/>
    <x:tableColumn id="14" name="Weighted Score"/>
    <x:tableColumn id="15" name="48-hour Test"/>
    <x:tableColumn id="16" name="Risk"/>
  </x:tableColumns>
  <x:tableStyleInfo name="TableStyleMedium2" showRowStripes="1"/>
</x:table>
</file>

<file path=xl/tables/table4.xml><?xml version="1.0" encoding="utf-8"?>
<x:table xmlns:x="http://schemas.openxmlformats.org/spreadsheetml/2006/main" id="4" name="FinanceModelTable" displayName="FinanceModelTable" ref="A3:F13" headerRowCount="1">
  <x:autoFilter ref="A3:F13"/>
  <x:tableColumns count="6">
    <x:tableColumn id="1" name="Metric"/>
    <x:tableColumn id="2" name="Symbol"/>
    <x:tableColumn id="3" name="Downside"/>
    <x:tableColumn id="4" name="Base"/>
    <x:tableColumn id="5" name="Upside"/>
    <x:tableColumn id="6" name="Formula or Note"/>
  </x:tableColumns>
  <x:tableStyleInfo name="TableStyleMedium2" showRowStripes="1"/>
</x:table>
</file>

<file path=xl/tables/table5.xml><?xml version="1.0" encoding="utf-8"?>
<x:table xmlns:x="http://schemas.openxmlformats.org/spreadsheetml/2006/main" id="5" name="PricingTable" displayName="PricingTable" ref="A3:G6" headerRowCount="1">
  <x:autoFilter ref="A3:G6"/>
  <x:tableColumns count="7">
    <x:tableColumn id="1" name="Package"/>
    <x:tableColumn id="2" name="Target Buyer"/>
    <x:tableColumn id="3" name="Price"/>
    <x:tableColumn id="4" name="Core Promise"/>
    <x:tableColumn id="5" name="Included"/>
    <x:tableColumn id="6" name="Limit"/>
    <x:tableColumn id="7" name="Upgrade Trigger"/>
  </x:tableColumns>
  <x:tableStyleInfo name="TableStyleMedium2" showRowStripes="1"/>
</x:table>
</file>

<file path=xl/tables/table6.xml><?xml version="1.0" encoding="utf-8"?>
<x:table xmlns:x="http://schemas.openxmlformats.org/spreadsheetml/2006/main" id="6" name="PipelineTable" displayName="PipelineTable" ref="A3:K6" headerRowCount="1">
  <x:autoFilter ref="A3:K6"/>
  <x:tableColumns count="11">
    <x:tableColumn id="1" name="Account"/>
    <x:tableColumn id="2" name="Segment"/>
    <x:tableColumn id="3" name="Buyer"/>
    <x:tableColumn id="4" name="Trigger"/>
    <x:tableColumn id="5" name="Stage"/>
    <x:tableColumn id="6" name="ARR Potential"/>
    <x:tableColumn id="7" name="Next Step"/>
    <x:tableColumn id="8" name="Owner"/>
    <x:tableColumn id="9" name="Due"/>
    <x:tableColumn id="10" name="Probability"/>
    <x:tableColumn id="11" name="Weighted ARR"/>
  </x:tableColumns>
  <x:tableStyleInfo name="TableStyleMedium2" showRowStripes="1"/>
</x:table>
</file>

<file path=xl/tables/table7.xml><?xml version="1.0" encoding="utf-8"?>
<x:table xmlns:x="http://schemas.openxmlformats.org/spreadsheetml/2006/main" id="7" name="RiskTable" displayName="RiskTable" ref="A3:H7" headerRowCount="1">
  <x:autoFilter ref="A3:H7"/>
  <x:tableColumns count="8">
    <x:tableColumn id="1" name="Risk"/>
    <x:tableColumn id="2" name="Category"/>
    <x:tableColumn id="3" name="Signal"/>
    <x:tableColumn id="4" name="Probability"/>
    <x:tableColumn id="5" name="Impact"/>
    <x:tableColumn id="6" name="Mitigation"/>
    <x:tableColumn id="7" name="Owner"/>
    <x:tableColumn id="8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LaunchTable" displayName="LaunchTable" ref="A3:F10" headerRowCount="1">
  <x:autoFilter ref="A3:F10"/>
  <x:tableColumns count="6">
    <x:tableColumn id="1" name="Workstream"/>
    <x:tableColumn id="2" name="Item"/>
    <x:tableColumn id="3" name="Owner"/>
    <x:tableColumn id="4" name="Due"/>
    <x:tableColumn id="5" name="Status"/>
    <x:tableColumn id="6" name="Evidence"/>
  </x:tableColumns>
  <x:tableStyleInfo name="TableStyleMedium2" showRowStripes="1"/>
</x:table>
</file>

<file path=xl/tables/table9.xml><?xml version="1.0" encoding="utf-8"?>
<x:table xmlns:x="http://schemas.openxmlformats.org/spreadsheetml/2006/main" id="9" name="CustomerRoiTable" displayName="CustomerRoiTable" ref="A3:F10" headerRowCount="1">
  <x:autoFilter ref="A3:F10"/>
  <x:tableColumns count="6">
    <x:tableColumn id="1" name="Line Item"/>
    <x:tableColumn id="2" name="Description"/>
    <x:tableColumn id="3" name="Qty"/>
    <x:tableColumn id="4" name="Unit Price"/>
    <x:tableColumn id="5" name="Total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e2d25cc8f441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ed8768575943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f165acbcae49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9e92a2eefc04685" /><Relationship Type="http://schemas.openxmlformats.org/officeDocument/2006/relationships/table" Target="/xl/tables/table4.xml" Id="R47956bed19574d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3cdfa581b034d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2771f26a9a248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1962fa1d95141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e8b422b9f1142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179378d7efa48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25.149999618530273" hidden="0" customWidth="1"/>
    <x:col min="3" max="3" width="26.3799991607666" hidden="0" customWidth="1"/>
    <x:col min="4" max="4" width="17.790000915527344" hidden="0" customWidth="1"/>
    <x:col min="5" max="5" width="26.3799991607666" hidden="0" customWidth="1"/>
    <x:col min="6" max="6" width="14.109999656677246" hidden="0" customWidth="1"/>
    <x:col min="7" max="7" width="14.109999656677246" hidden="0" customWidth="1"/>
    <x:col min="8" max="8" width="14.109999656677246" hidden="0" customWidth="1"/>
  </x:cols>
  <x:sheetData>
    <x:row r="1" ht="27" customHeight="1">
      <x:c r="A1" s="17" t="str">
        <x:v>老何产品生命周期模板</x:v>
      </x:c>
      <x:c r="B1" s="17" t="str">
        <x:v>老何产品生命周期模板</x:v>
      </x:c>
      <x:c r="C1" s="17" t="str">
        <x:v>老何产品生命周期模板</x:v>
      </x:c>
      <x:c r="D1" s="17" t="str">
        <x:v>老何产品生命周期模板</x:v>
      </x:c>
      <x:c r="E1" s="17" t="str">
        <x:v>老何产品生命周期模板</x:v>
      </x:c>
      <x:c r="F1" s="17" t="str">
        <x:v>老何产品生命周期模板</x:v>
      </x:c>
      <x:c r="G1" s="17" t="str">
        <x:v>老何产品生命周期模板</x:v>
      </x:c>
      <x:c r="H1" s="17" t="str">
        <x:v>老何产品生命周期模板</x:v>
      </x:c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19" t="str">
        <x:v>Metric</x:v>
      </x:c>
      <x:c r="B3" s="19" t="str">
        <x:v>Value</x:v>
      </x:c>
      <x:c r="C3" s="19" t="str">
        <x:v>Meaning</x:v>
      </x:c>
      <x:c r="D3" s="18" t="str"/>
      <x:c r="E3" s="20" t="str">
        <x:v>Lifecycle Progress</x:v>
      </x:c>
      <x:c r="F3" s="20" t="str"/>
      <x:c r="G3" s="20" t="str"/>
      <x:c r="H3" s="20" t="str"/>
    </x:row>
    <x:row r="4">
      <x:c r="A4" s="18" t="str">
        <x:v>Done phases</x:v>
      </x:c>
      <x:c r="B4" s="18" t="n">
        <x:f>COUNTIF(Lifecycle!G4:G14,"Done")</x:f>
        <x:v>0</x:v>
      </x:c>
      <x:c r="C4" s="18" t="str">
        <x:v>Lifecycle rows marked Done</x:v>
      </x:c>
      <x:c r="D4" s="18"/>
      <x:c r="E4" s="18" t="str">
        <x:v>Scenario</x:v>
      </x:c>
      <x:c r="F4" s="18" t="str">
        <x:v>MRR</x:v>
      </x:c>
      <x:c r="G4" s="18" t="str">
        <x:v>Gross Profit</x:v>
      </x:c>
      <x:c r="H4" s="18" t="str">
        <x:v>LTV/CAC</x:v>
      </x:c>
    </x:row>
    <x:row r="5">
      <x:c r="A5" s="18" t="str">
        <x:v>Ready phases</x:v>
      </x:c>
      <x:c r="B5" s="18" t="n">
        <x:f>COUNTIF(Lifecycle!G4:G14,"Ready")</x:f>
        <x:v>0</x:v>
      </x:c>
      <x:c r="C5" s="18" t="str">
        <x:v>Lifecycle rows marked Ready</x:v>
      </x:c>
      <x:c r="D5" s="18"/>
      <x:c r="E5" s="18" t="str">
        <x:v>Downside</x:v>
      </x:c>
      <x:c r="F5" s="21" t="n">
        <x:f>Finance!C9</x:f>
        <x:v>1980</x:v>
      </x:c>
      <x:c r="G5" s="21" t="n">
        <x:f>Finance!C10</x:f>
        <x:v>1287</x:v>
      </x:c>
      <x:c r="H5" s="22" t="n">
        <x:f>Finance!C13</x:f>
        <x:v>0.8937500000000002</x:v>
      </x:c>
    </x:row>
    <x:row r="6">
      <x:c r="A6" s="18" t="str">
        <x:v>Blocked risks</x:v>
      </x:c>
      <x:c r="B6" s="18" t="n">
        <x:f>COUNTIF(Risks!H4:H23,"Open")</x:f>
        <x:v>4</x:v>
      </x:c>
      <x:c r="C6" s="18" t="str">
        <x:v>Risk rows marked Blocked/Open</x:v>
      </x:c>
      <x:c r="D6" s="18"/>
      <x:c r="E6" s="18" t="str">
        <x:v>Base</x:v>
      </x:c>
      <x:c r="F6" s="21" t="n">
        <x:f>Finance!D9</x:f>
        <x:v>14925</x:v>
      </x:c>
      <x:c r="G6" s="21" t="n">
        <x:f>Finance!D10</x:f>
        <x:v>11641.5</x:v>
      </x:c>
      <x:c r="H6" s="22" t="n">
        <x:f>Finance!D13</x:f>
        <x:v>5.97</x:v>
      </x:c>
    </x:row>
    <x:row r="7">
      <x:c r="A7" s="18" t="str">
        <x:v>Base MRR</x:v>
      </x:c>
      <x:c r="B7" s="21" t="n">
        <x:f>Finance!D9</x:f>
        <x:v>14925</x:v>
      </x:c>
      <x:c r="C7" s="18" t="str">
        <x:v>Base scenario monthly recurring revenue</x:v>
      </x:c>
      <x:c r="D7" s="18"/>
      <x:c r="E7" s="18" t="str">
        <x:v>Upside</x:v>
      </x:c>
      <x:c r="F7" s="21" t="n">
        <x:f>Finance!E9</x:f>
        <x:v>79800</x:v>
      </x:c>
      <x:c r="G7" s="21" t="n">
        <x:f>Finance!E10</x:f>
        <x:v>68628</x:v>
      </x:c>
      <x:c r="H7" s="22" t="n">
        <x:f>Finance!E13</x:f>
        <x:v>38.126666666666665</x:v>
      </x:c>
    </x:row>
    <x:row r="8">
      <x:c r="A8" s="18" t="str">
        <x:v>Base CAC payback</x:v>
      </x:c>
      <x:c r="B8" s="23" t="n">
        <x:f>Finance!D11</x:f>
        <x:v>4.187604690117253</x:v>
      </x:c>
      <x:c r="C8" s="18" t="str">
        <x:v>Months to repay CAC</x:v>
      </x:c>
      <x:c r="D8" s="18"/>
      <x:c r="E8" s="18"/>
      <x:c r="F8" s="18"/>
      <x:c r="G8" s="18"/>
      <x:c r="H8" s="18"/>
    </x:row>
    <x:row r="9">
      <x:c r="A9" s="18"/>
      <x:c r="B9" s="18"/>
      <x:c r="C9" s="18"/>
      <x:c r="D9" s="18"/>
      <x:c r="E9" s="18"/>
      <x:c r="F9" s="18"/>
      <x:c r="G9" s="18"/>
      <x:c r="H9" s="18"/>
    </x:row>
    <x:row r="10">
      <x:c r="A10" s="19" t="str">
        <x:v>Recommended use</x:v>
      </x:c>
      <x:c r="B10" s="19" t="str">
        <x:v>Internal Markdown</x:v>
      </x:c>
      <x:c r="C10" s="19" t="str">
        <x:v>Customer Excel</x:v>
      </x:c>
      <x:c r="D10" s="19" t="str">
        <x:v>Decision Gate</x:v>
      </x:c>
      <x:c r="E10" s="19" t="str">
        <x:v>Evidence</x:v>
      </x:c>
      <x:c r="F10" s="19" t="str">
        <x:v>Owner</x:v>
      </x:c>
      <x:c r="G10" s="19" t="str">
        <x:v>Due</x:v>
      </x:c>
      <x:c r="H10" s="19" t="str">
        <x:v>Status</x:v>
      </x:c>
    </x:row>
    <x:row r="11">
      <x:c r="A11" s="18" t="str">
        <x:v>Start strategy</x:v>
      </x:c>
      <x:c r="B11" s="18" t="str">
        <x:v>00-one-page-strategy.md</x:v>
      </x:c>
      <x:c r="C11" s="18" t="str">
        <x:v>Lifecycle</x:v>
      </x:c>
      <x:c r="D11" s="18" t="str">
        <x:v>Problem-value fit</x:v>
      </x:c>
      <x:c r="E11" s="18" t="str">
        <x:v>Buyer/user and success metric</x:v>
      </x:c>
      <x:c r="F11" s="18" t="str"/>
      <x:c r="G11" s="18" t="str"/>
      <x:c r="H11" s="18" t="str">
        <x:v>Draft</x:v>
      </x:c>
    </x:row>
    <x:row r="12">
      <x:c r="A12" s="18" t="str">
        <x:v>Invent wedges</x:v>
      </x:c>
      <x:c r="B12" s="18" t="str">
        <x:v>12-creative-engineering-ideas.md</x:v>
      </x:c>
      <x:c r="C12" s="18" t="str">
        <x:v>Idea Bank</x:v>
      </x:c>
      <x:c r="D12" s="18" t="str">
        <x:v>Creative leverage fit</x:v>
      </x:c>
      <x:c r="E12" s="18" t="str">
        <x:v>Shortlisted ideas with weighted scores</x:v>
      </x:c>
      <x:c r="F12" s="18" t="str"/>
      <x:c r="G12" s="18" t="str"/>
      <x:c r="H12" s="18" t="str">
        <x:v>Draft</x:v>
      </x:c>
    </x:row>
    <x:row r="13">
      <x:c r="A13" s="18" t="str">
        <x:v>Define product</x:v>
      </x:c>
      <x:c r="B13" s="18" t="str">
        <x:v>03-prd.md</x:v>
      </x:c>
      <x:c r="C13" s="18" t="str">
        <x:v>Lifecycle</x:v>
      </x:c>
      <x:c r="D13" s="18" t="str">
        <x:v>Scope fit</x:v>
      </x:c>
      <x:c r="E13" s="18" t="str">
        <x:v>P0 acceptance criteria</x:v>
      </x:c>
      <x:c r="F13" s="18" t="str"/>
      <x:c r="G13" s="18" t="str"/>
      <x:c r="H13" s="18" t="str">
        <x:v>Draft</x:v>
      </x:c>
    </x:row>
    <x:row r="14">
      <x:c r="A14" s="18" t="str">
        <x:v>Plan engineering</x:v>
      </x:c>
      <x:c r="B14" s="18" t="str">
        <x:v>04-architecture-rfc.md</x:v>
      </x:c>
      <x:c r="C14" s="18" t="str">
        <x:v>Risks</x:v>
      </x:c>
      <x:c r="D14" s="18" t="str">
        <x:v>Technical fit</x:v>
      </x:c>
      <x:c r="E14" s="18" t="str">
        <x:v>Interfaces and rollout</x:v>
      </x:c>
      <x:c r="F14" s="18" t="str"/>
      <x:c r="G14" s="18" t="str"/>
      <x:c r="H14" s="18" t="str">
        <x:v>Draft</x:v>
      </x:c>
    </x:row>
    <x:row r="15">
      <x:c r="A15" s="18" t="str">
        <x:v>Prepare launch</x:v>
      </x:c>
      <x:c r="B15" s="18" t="str">
        <x:v>07-launch-gtm-plan.md</x:v>
      </x:c>
      <x:c r="C15" s="18" t="str">
        <x:v>Launch</x:v>
      </x:c>
      <x:c r="D15" s="18" t="str">
        <x:v>Launch fit</x:v>
      </x:c>
      <x:c r="E15" s="18" t="str">
        <x:v>Offer and channel plan</x:v>
      </x:c>
      <x:c r="F15" s="18" t="str"/>
      <x:c r="G15" s="18" t="str"/>
      <x:c r="H15" s="18" t="str">
        <x:v>Draft</x:v>
      </x:c>
    </x:row>
    <x:row r="16">
      <x:c r="A16" s="18" t="str">
        <x:v>Model money</x:v>
      </x:c>
      <x:c r="B16" s="18" t="str">
        <x:v>08-finance-and-unit-economics.md</x:v>
      </x:c>
      <x:c r="C16" s="18" t="str">
        <x:v>Finance</x:v>
      </x:c>
      <x:c r="D16" s="18" t="str">
        <x:v>Economic fit</x:v>
      </x:c>
      <x:c r="E16" s="18" t="str">
        <x:v>Payback and LTV/CAC</x:v>
      </x:c>
      <x:c r="F16" s="18" t="str"/>
      <x:c r="G16" s="18" t="str"/>
      <x:c r="H16" s="18" t="str">
        <x:v>Draft</x:v>
      </x:c>
    </x:row>
    <x:row r="17">
      <x:c r="A17" s="18" t="str">
        <x:v>Close customer</x:v>
      </x:c>
      <x:c r="B17" s="18" t="str">
        <x:v>10-customer-proposal.md</x:v>
      </x:c>
      <x:c r="C17" s="18" t="str">
        <x:v>Customer ROI</x:v>
      </x:c>
      <x:c r="D17" s="18" t="str">
        <x:v>Buying fit</x:v>
      </x:c>
      <x:c r="E17" s="18" t="str">
        <x:v>ROI and commercial terms</x:v>
      </x:c>
      <x:c r="F17" s="18" t="str"/>
      <x:c r="G17" s="18" t="str"/>
      <x:c r="H17" s="18" t="str">
        <x:v>Draft</x:v>
      </x:c>
    </x:row>
  </x:sheetData>
  <x:mergeCells>
    <x:mergeCell ref="A1:H1"/>
  </x:mergeCells>
  <x:dataValidations count="1">
    <x:dataValidation type="list" sqref="H11:H17">
      <x:formula1>"Not Started,Draft,In Progress,Blocked,Ready,Done"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e2d25cc8f441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25.149999618530273" hidden="0" customWidth="1"/>
    <x:col min="3" max="3" width="14.109999656677246" hidden="0" customWidth="1"/>
    <x:col min="4" max="4" width="12.880000114440918" hidden="0" customWidth="1"/>
    <x:col min="5" max="5" width="12.880000114440918" hidden="0" customWidth="1"/>
    <x:col min="6" max="6" width="41.099998474121094" hidden="0" customWidth="1"/>
    <x:col min="7" max="7" width="14.109999656677246" hidden="0" customWidth="1"/>
  </x:cols>
  <x:sheetData>
    <x:row r="1" ht="27" customHeight="1">
      <x:c r="A1" s="17" t="str">
        <x:v>产品生命周期路线图</x:v>
      </x:c>
      <x:c r="B1" s="17" t="str">
        <x:v>产品生命周期路线图</x:v>
      </x:c>
      <x:c r="C1" s="17" t="str">
        <x:v>产品生命周期路线图</x:v>
      </x:c>
      <x:c r="D1" s="17" t="str">
        <x:v>产品生命周期路线图</x:v>
      </x:c>
      <x:c r="E1" s="17" t="str">
        <x:v>产品生命周期路线图</x:v>
      </x:c>
      <x:c r="F1" s="17" t="str">
        <x:v>产品生命周期路线图</x:v>
      </x:c>
      <x:c r="G1" s="17" t="str">
        <x:v>产品生命周期路线图</x:v>
      </x:c>
    </x:row>
    <x:row r="2">
      <x:c r="A2" s="18"/>
      <x:c r="B2" s="18"/>
      <x:c r="C2" s="18"/>
      <x:c r="D2" s="18"/>
      <x:c r="E2" s="18"/>
      <x:c r="F2" s="18"/>
      <x:c r="G2" s="18"/>
    </x:row>
    <x:row r="3">
      <x:c r="A3" s="19" t="str">
        <x:v>Phase</x:v>
      </x:c>
      <x:c r="B3" s="19" t="str">
        <x:v>Artifact</x:v>
      </x:c>
      <x:c r="C3" s="19" t="str">
        <x:v>Owner</x:v>
      </x:c>
      <x:c r="D3" s="19" t="str">
        <x:v>Start</x:v>
      </x:c>
      <x:c r="E3" s="19" t="str">
        <x:v>Due</x:v>
      </x:c>
      <x:c r="F3" s="19" t="str">
        <x:v>Exit Criteria</x:v>
      </x:c>
      <x:c r="G3" s="19" t="str">
        <x:v>Status</x:v>
      </x:c>
    </x:row>
    <x:row r="4">
      <x:c r="A4" s="18" t="str">
        <x:v>Intake</x:v>
      </x:c>
      <x:c r="B4" s="18" t="str">
        <x:v>00 One-page Strategy</x:v>
      </x:c>
      <x:c r="C4" s="18" t="str"/>
      <x:c r="D4" s="24" t="str"/>
      <x:c r="E4" s="24" t="str"/>
      <x:c r="F4" s="18" t="str">
        <x:v>Success metric and buyer/user are clear</x:v>
      </x:c>
      <x:c r="G4" s="18" t="str">
        <x:v>Draft</x:v>
      </x:c>
    </x:row>
    <x:row r="5">
      <x:c r="A5" s="18" t="str">
        <x:v>Creative</x:v>
      </x:c>
      <x:c r="B5" s="18" t="str">
        <x:v>12 Creative Engineering Ideas</x:v>
      </x:c>
      <x:c r="C5" s="18" t="str"/>
      <x:c r="D5" s="24" t="str"/>
      <x:c r="E5" s="24" t="str"/>
      <x:c r="F5" s="18" t="str">
        <x:v>Shortlist scored by feasibility, distribution, monetization, and surprise</x:v>
      </x:c>
      <x:c r="G5" s="18" t="str">
        <x:v>Draft</x:v>
      </x:c>
    </x:row>
    <x:row r="6">
      <x:c r="A6" s="18" t="str">
        <x:v>Market</x:v>
      </x:c>
      <x:c r="B6" s="18" t="str">
        <x:v>01 Market and ICP</x:v>
      </x:c>
      <x:c r="C6" s="18" t="str"/>
      <x:c r="D6" s="24" t="str"/>
      <x:c r="E6" s="24" t="str"/>
      <x:c r="F6" s="18" t="str">
        <x:v>Time-sensitive claims are source-checked</x:v>
      </x:c>
      <x:c r="G6" s="18" t="str">
        <x:v>Draft</x:v>
      </x:c>
    </x:row>
    <x:row r="7">
      <x:c r="A7" s="18" t="str">
        <x:v>Opportunity</x:v>
      </x:c>
      <x:c r="B7" s="18" t="str">
        <x:v>02 Opportunity Brief</x:v>
      </x:c>
      <x:c r="C7" s="18" t="str"/>
      <x:c r="D7" s="24" t="str"/>
      <x:c r="E7" s="24" t="str"/>
      <x:c r="F7" s="18" t="str">
        <x:v>Weighted score and decision are documented</x:v>
      </x:c>
      <x:c r="G7" s="18" t="str">
        <x:v>Draft</x:v>
      </x:c>
    </x:row>
    <x:row r="8">
      <x:c r="A8" s="18" t="str">
        <x:v>Product</x:v>
      </x:c>
      <x:c r="B8" s="18" t="str">
        <x:v>03 PRD</x:v>
      </x:c>
      <x:c r="C8" s="18" t="str"/>
      <x:c r="D8" s="24" t="str"/>
      <x:c r="E8" s="24" t="str"/>
      <x:c r="F8" s="18" t="str">
        <x:v>P0 scope and acceptance criteria are approved</x:v>
      </x:c>
      <x:c r="G8" s="18" t="str">
        <x:v>Draft</x:v>
      </x:c>
    </x:row>
    <x:row r="9">
      <x:c r="A9" s="18" t="str">
        <x:v>Architecture</x:v>
      </x:c>
      <x:c r="B9" s="18" t="str">
        <x:v>04 Architecture RFC</x:v>
      </x:c>
      <x:c r="C9" s="18" t="str"/>
      <x:c r="D9" s="24" t="str"/>
      <x:c r="E9" s="24" t="str"/>
      <x:c r="F9" s="18" t="str">
        <x:v>Interfaces risks and rollout plan are reviewed</x:v>
      </x:c>
      <x:c r="G9" s="18" t="str">
        <x:v>Draft</x:v>
      </x:c>
    </x:row>
    <x:row r="10">
      <x:c r="A10" s="18" t="str">
        <x:v>Project</x:v>
      </x:c>
      <x:c r="B10" s="18" t="str">
        <x:v>05 Project Plan</x:v>
      </x:c>
      <x:c r="C10" s="18" t="str"/>
      <x:c r="D10" s="24" t="str"/>
      <x:c r="E10" s="24" t="str"/>
      <x:c r="F10" s="18" t="str">
        <x:v>Milestones owners and risk register are active</x:v>
      </x:c>
      <x:c r="G10" s="18" t="str">
        <x:v>Draft</x:v>
      </x:c>
    </x:row>
    <x:row r="11">
      <x:c r="A11" s="18" t="str">
        <x:v>Quality</x:v>
      </x:c>
      <x:c r="B11" s="18" t="str">
        <x:v>06 Test Plan</x:v>
      </x:c>
      <x:c r="C11" s="18" t="str"/>
      <x:c r="D11" s="24" t="str"/>
      <x:c r="E11" s="24" t="str"/>
      <x:c r="F11" s="18" t="str">
        <x:v>Release gates and evidence requirements are defined</x:v>
      </x:c>
      <x:c r="G11" s="18" t="str">
        <x:v>Draft</x:v>
      </x:c>
    </x:row>
    <x:row r="12">
      <x:c r="A12" s="18" t="str">
        <x:v>Launch</x:v>
      </x:c>
      <x:c r="B12" s="18" t="str">
        <x:v>07 GTM Plan</x:v>
      </x:c>
      <x:c r="C12" s="18" t="str"/>
      <x:c r="D12" s="24" t="str"/>
      <x:c r="E12" s="24" t="str"/>
      <x:c r="F12" s="18" t="str">
        <x:v>Audience offer channels and funnel targets are ready</x:v>
      </x:c>
      <x:c r="G12" s="18" t="str">
        <x:v>Draft</x:v>
      </x:c>
    </x:row>
    <x:row r="13">
      <x:c r="A13" s="18" t="str">
        <x:v>Finance</x:v>
      </x:c>
      <x:c r="B13" s="18" t="str">
        <x:v>08 Unit Economics</x:v>
      </x:c>
      <x:c r="C13" s="18" t="str"/>
      <x:c r="D13" s="24" t="str"/>
      <x:c r="E13" s="24" t="str"/>
      <x:c r="F13" s="18" t="str">
        <x:v>Payback LTV/CAC and sensitivity are reviewed</x:v>
      </x:c>
      <x:c r="G13" s="18" t="str">
        <x:v>Draft</x:v>
      </x:c>
    </x:row>
    <x:row r="14">
      <x:c r="A14" s="18" t="str">
        <x:v>Review</x:v>
      </x:c>
      <x:c r="B14" s="18" t="str">
        <x:v>11 Postmortem</x:v>
      </x:c>
      <x:c r="C14" s="18" t="str"/>
      <x:c r="D14" s="24" t="str"/>
      <x:c r="E14" s="24" t="str"/>
      <x:c r="F14" s="18" t="str">
        <x:v>Lessons and next actions are assigned</x:v>
      </x:c>
      <x:c r="G14" s="18" t="str">
        <x:v>Draft</x:v>
      </x:c>
    </x:row>
    <x:row r="15">
      <x:c r="A15" s="18"/>
      <x:c r="B15" s="18"/>
      <x:c r="C15" s="18"/>
      <x:c r="D15" s="24"/>
      <x:c r="E15" s="24"/>
      <x:c r="F15" s="18"/>
      <x:c r="G15" s="18"/>
    </x:row>
    <x:row r="16">
      <x:c r="A16" s="18"/>
      <x:c r="B16" s="18"/>
      <x:c r="C16" s="18"/>
      <x:c r="D16" s="24"/>
      <x:c r="E16" s="24"/>
      <x:c r="F16" s="18"/>
      <x:c r="G16" s="18"/>
    </x:row>
    <x:row r="17">
      <x:c r="A17" s="18"/>
      <x:c r="B17" s="18"/>
      <x:c r="C17" s="18"/>
      <x:c r="D17" s="24"/>
      <x:c r="E17" s="24"/>
      <x:c r="F17" s="18"/>
      <x:c r="G17" s="18"/>
    </x:row>
    <x:row r="18">
      <x:c r="A18" s="18"/>
      <x:c r="B18" s="18"/>
      <x:c r="C18" s="18"/>
      <x:c r="D18" s="24"/>
      <x:c r="E18" s="24"/>
      <x:c r="F18" s="18"/>
      <x:c r="G18" s="18"/>
    </x:row>
    <x:row r="19">
      <x:c r="A19" s="18"/>
      <x:c r="B19" s="18"/>
      <x:c r="C19" s="18"/>
      <x:c r="D19" s="24"/>
      <x:c r="E19" s="24"/>
      <x:c r="F19" s="18"/>
      <x:c r="G19" s="18"/>
    </x:row>
    <x:row r="20">
      <x:c r="A20" s="18"/>
      <x:c r="B20" s="18"/>
      <x:c r="C20" s="18"/>
      <x:c r="D20" s="24"/>
      <x:c r="E20" s="24"/>
      <x:c r="F20" s="18"/>
      <x:c r="G20" s="18"/>
    </x:row>
    <x:row r="21">
      <x:c r="A21" s="18"/>
      <x:c r="B21" s="18"/>
      <x:c r="C21" s="18"/>
      <x:c r="D21" s="24"/>
      <x:c r="E21" s="24"/>
      <x:c r="F21" s="18"/>
      <x:c r="G21" s="18"/>
    </x:row>
    <x:row r="22">
      <x:c r="A22" s="18"/>
      <x:c r="B22" s="18"/>
      <x:c r="C22" s="18"/>
      <x:c r="D22" s="24"/>
      <x:c r="E22" s="24"/>
      <x:c r="F22" s="18"/>
      <x:c r="G22" s="18"/>
    </x:row>
    <x:row r="23">
      <x:c r="A23" s="18"/>
      <x:c r="B23" s="18"/>
      <x:c r="C23" s="18"/>
      <x:c r="D23" s="24"/>
      <x:c r="E23" s="24"/>
      <x:c r="F23" s="18"/>
      <x:c r="G23" s="18"/>
    </x:row>
    <x:row r="24">
      <x:c r="A24" s="18"/>
      <x:c r="B24" s="18"/>
      <x:c r="C24" s="18"/>
      <x:c r="D24" s="24"/>
      <x:c r="E24" s="24"/>
      <x:c r="F24" s="18"/>
      <x:c r="G24" s="18"/>
    </x:row>
    <x:row r="25">
      <x:c r="A25" s="18"/>
      <x:c r="B25" s="18"/>
      <x:c r="C25" s="18"/>
      <x:c r="D25" s="24"/>
      <x:c r="E25" s="24"/>
      <x:c r="F25" s="18"/>
      <x:c r="G25" s="18"/>
    </x:row>
    <x:row r="26">
      <x:c r="A26" s="18"/>
      <x:c r="B26" s="18"/>
      <x:c r="C26" s="18"/>
      <x:c r="D26" s="24"/>
      <x:c r="E26" s="24"/>
      <x:c r="F26" s="18"/>
      <x:c r="G26" s="18"/>
    </x:row>
    <x:row r="27">
      <x:c r="A27" s="18"/>
      <x:c r="B27" s="18"/>
      <x:c r="C27" s="18"/>
      <x:c r="D27" s="24"/>
      <x:c r="E27" s="24"/>
      <x:c r="F27" s="18"/>
      <x:c r="G27" s="18"/>
    </x:row>
    <x:row r="28">
      <x:c r="A28" s="18"/>
      <x:c r="B28" s="18"/>
      <x:c r="C28" s="18"/>
      <x:c r="D28" s="24"/>
      <x:c r="E28" s="24"/>
      <x:c r="F28" s="18"/>
      <x:c r="G28" s="18"/>
    </x:row>
    <x:row r="29">
      <x:c r="A29" s="18"/>
      <x:c r="B29" s="18"/>
      <x:c r="C29" s="18"/>
      <x:c r="D29" s="24"/>
      <x:c r="E29" s="24"/>
      <x:c r="F29" s="18"/>
      <x:c r="G29" s="18"/>
    </x:row>
    <x:row r="30">
      <x:c r="A30" s="18"/>
      <x:c r="B30" s="18"/>
      <x:c r="C30" s="18"/>
      <x:c r="D30" s="24"/>
      <x:c r="E30" s="24"/>
      <x:c r="F30" s="18"/>
      <x:c r="G30" s="18"/>
    </x:row>
    <x:row r="31">
      <x:c r="A31" s="18"/>
      <x:c r="B31" s="18"/>
      <x:c r="C31" s="18"/>
      <x:c r="D31" s="24"/>
      <x:c r="E31" s="24"/>
      <x:c r="F31" s="18"/>
      <x:c r="G31" s="18"/>
    </x:row>
    <x:row r="32">
      <x:c r="A32" s="18"/>
      <x:c r="B32" s="18"/>
      <x:c r="C32" s="18"/>
      <x:c r="D32" s="24"/>
      <x:c r="E32" s="24"/>
      <x:c r="F32" s="18"/>
      <x:c r="G32" s="18"/>
    </x:row>
    <x:row r="33">
      <x:c r="A33" s="18"/>
      <x:c r="B33" s="18"/>
      <x:c r="C33" s="18"/>
      <x:c r="D33" s="24"/>
      <x:c r="E33" s="24"/>
      <x:c r="F33" s="18"/>
      <x:c r="G33" s="18"/>
    </x:row>
  </x:sheetData>
  <x:mergeCells>
    <x:mergeCell ref="A1:G1"/>
  </x:mergeCells>
  <x:dataValidations count="1">
    <x:dataValidation type="list" sqref="G4:G14">
      <x:formula1>"Not Started,Draft,In Progress,Blocked,Ready,Done"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ed8768575943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93000030517578" hidden="0" customWidth="1"/>
    <x:col min="2" max="2" width="27.610000610351562" hidden="0" customWidth="1"/>
    <x:col min="3" max="3" width="28.829999923706055" hidden="0" customWidth="1"/>
    <x:col min="4" max="4" width="17.790000915527344" hidden="0" customWidth="1"/>
    <x:col min="5" max="5" width="19.020000457763672" hidden="0" customWidth="1"/>
    <x:col min="6" max="6" width="22.700000762939453" hidden="0" customWidth="1"/>
    <x:col min="7" max="7" width="6.130000114440918" hidden="0" customWidth="1"/>
    <x:col min="8" max="8" width="6.130000114440918" hidden="0" customWidth="1"/>
    <x:col min="9" max="9" width="6.130000114440918" hidden="0" customWidth="1"/>
    <x:col min="10" max="10" width="6.130000114440918" hidden="0" customWidth="1"/>
    <x:col min="11" max="11" width="6.130000114440918" hidden="0" customWidth="1"/>
    <x:col min="12" max="12" width="6.130000114440918" hidden="0" customWidth="1"/>
    <x:col min="13" max="13" width="6.130000114440918" hidden="0" customWidth="1"/>
    <x:col min="14" max="14" width="14.109999656677246" hidden="0" customWidth="1"/>
    <x:col min="15" max="15" width="31.290000915527344" hidden="0" customWidth="1"/>
    <x:col min="16" max="16" width="25.149999618530273" hidden="0" customWidth="1"/>
  </x:cols>
  <x:sheetData>
    <x:row r="1" ht="27" customHeight="1">
      <x:c r="A1" s="17" t="str">
        <x:v>骚点子与跨界工程点子库</x:v>
      </x:c>
      <x:c r="B1" s="17" t="str">
        <x:v>骚点子与跨界工程点子库</x:v>
      </x:c>
      <x:c r="C1" s="17" t="str">
        <x:v>骚点子与跨界工程点子库</x:v>
      </x:c>
      <x:c r="D1" s="17" t="str">
        <x:v>骚点子与跨界工程点子库</x:v>
      </x:c>
      <x:c r="E1" s="17" t="str">
        <x:v>骚点子与跨界工程点子库</x:v>
      </x:c>
      <x:c r="F1" s="17" t="str">
        <x:v>骚点子与跨界工程点子库</x:v>
      </x:c>
      <x:c r="G1" s="17" t="str">
        <x:v>骚点子与跨界工程点子库</x:v>
      </x:c>
      <x:c r="H1" s="17" t="str">
        <x:v>骚点子与跨界工程点子库</x:v>
      </x:c>
      <x:c r="I1" s="17" t="str">
        <x:v>骚点子与跨界工程点子库</x:v>
      </x:c>
      <x:c r="J1" s="17" t="str">
        <x:v>骚点子与跨界工程点子库</x:v>
      </x:c>
      <x:c r="K1" s="17" t="str">
        <x:v>骚点子与跨界工程点子库</x:v>
      </x:c>
      <x:c r="L1" s="17" t="str">
        <x:v>骚点子与跨界工程点子库</x:v>
      </x:c>
      <x:c r="M1" s="17" t="str">
        <x:v>骚点子与跨界工程点子库</x:v>
      </x:c>
      <x:c r="N1" s="17" t="str">
        <x:v>骚点子与跨界工程点子库</x:v>
      </x:c>
      <x:c r="O1" s="17" t="str">
        <x:v>骚点子与跨界工程点子库</x:v>
      </x:c>
      <x:c r="P1" s="17" t="str">
        <x:v>骚点子与跨界工程点子库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</x:row>
    <x:row r="3">
      <x:c r="A3" s="19" t="str">
        <x:v>Idea</x:v>
      </x:c>
      <x:c r="B3" s="19" t="str">
        <x:v>Cross-domain Combo</x:v>
      </x:c>
      <x:c r="C3" s="19" t="str">
        <x:v>Engineering Lever</x:v>
      </x:c>
      <x:c r="D3" s="19" t="str">
        <x:v>Buyer/User</x:v>
      </x:c>
      <x:c r="E3" s="19" t="str">
        <x:v>Distribution</x:v>
      </x:c>
      <x:c r="F3" s="19" t="str">
        <x:v>Monetization</x:v>
      </x:c>
      <x:c r="G3" s="19" t="str">
        <x:v>D</x:v>
      </x:c>
      <x:c r="H3" s="19" t="str">
        <x:v>M</x:v>
      </x:c>
      <x:c r="I3" s="19" t="str">
        <x:v>F</x:v>
      </x:c>
      <x:c r="J3" s="19" t="str">
        <x:v>V</x:v>
      </x:c>
      <x:c r="K3" s="19" t="str">
        <x:v>S</x:v>
      </x:c>
      <x:c r="L3" s="19" t="str">
        <x:v>R</x:v>
      </x:c>
      <x:c r="M3" s="19" t="str">
        <x:v>X</x:v>
      </x:c>
      <x:c r="N3" s="19" t="str">
        <x:v>Weighted Score</x:v>
      </x:c>
      <x:c r="O3" s="19" t="str">
        <x:v>48-hour Test</x:v>
      </x:c>
      <x:c r="P3" s="19" t="str">
        <x:v>Risk</x:v>
      </x:c>
    </x:row>
    <x:row r="4">
      <x:c r="A4" s="18" t="str">
        <x:v>Spreadsheet-to-SaaS audit</x:v>
      </x:c>
      <x:c r="B4" s="18" t="str">
        <x:v>Excel workflow + SaaS automation</x:v>
      </x:c>
      <x:c r="C4" s="18" t="str">
        <x:v>Import/export plus workflow automation</x:v>
      </x:c>
      <x:c r="D4" s="18" t="str">
        <x:v>Ops manager</x:v>
      </x:c>
      <x:c r="E4" s="18" t="str">
        <x:v>Template funnel</x:v>
      </x:c>
      <x:c r="F4" s="18" t="str">
        <x:v>Paid audit then subscription</x:v>
      </x:c>
      <x:c r="G4" s="18" t="n">
        <x:v>4</x:v>
      </x:c>
      <x:c r="H4" s="18" t="n">
        <x:v>4</x:v>
      </x:c>
      <x:c r="I4" s="18" t="n">
        <x:v>4</x:v>
      </x:c>
      <x:c r="J4" s="18" t="n">
        <x:v>4</x:v>
      </x:c>
      <x:c r="K4" s="18" t="n">
        <x:v>3</x:v>
      </x:c>
      <x:c r="L4" s="18" t="n">
        <x:v>4</x:v>
      </x:c>
      <x:c r="M4" s="18" t="n">
        <x:v>3</x:v>
      </x:c>
      <x:c r="N4" s="25" t="n">
        <x:f>0.22*G4+0.18*H4+0.16*I4+0.14*J4+0.12*K4+0.10*L4+0.08*M4</x:f>
        <x:v>3.8</x:v>
      </x:c>
      <x:c r="O4" s="18" t="str">
        <x:v>Publish template and sell 3 paid audits</x:v>
      </x:c>
      <x:c r="P4" s="18" t="str">
        <x:v>No urgent buyer</x:v>
      </x:c>
    </x:row>
    <x:row r="5">
      <x:c r="A5" s="18" t="str">
        <x:v>Compliance evidence bot</x:v>
      </x:c>
      <x:c r="B5" s="18" t="str">
        <x:v>Regulation + document intelligence</x:v>
      </x:c>
      <x:c r="C5" s="18" t="str">
        <x:v>Agent workflow and evidence collection</x:v>
      </x:c>
      <x:c r="D5" s="18" t="str">
        <x:v>Compliance lead</x:v>
      </x:c>
      <x:c r="E5" s="18" t="str">
        <x:v>Founder-led outbound</x:v>
      </x:c>
      <x:c r="F5" s="18" t="str">
        <x:v>Monthly compliance package</x:v>
      </x:c>
      <x:c r="G5" s="18" t="n">
        <x:v>3</x:v>
      </x:c>
      <x:c r="H5" s="18" t="n">
        <x:v>4</x:v>
      </x:c>
      <x:c r="I5" s="18" t="n">
        <x:v>3</x:v>
      </x:c>
      <x:c r="J5" s="18" t="n">
        <x:v>5</x:v>
      </x:c>
      <x:c r="K5" s="18" t="n">
        <x:v>4</x:v>
      </x:c>
      <x:c r="L5" s="18" t="n">
        <x:v>4</x:v>
      </x:c>
      <x:c r="M5" s="18" t="n">
        <x:v>4</x:v>
      </x:c>
      <x:c r="N5" s="25" t="n">
        <x:f>0.22*G5+0.18*H5+0.16*I5+0.14*J5+0.12*K5+0.10*L5+0.08*M5</x:f>
        <x:v>3.76</x:v>
      </x:c>
      <x:c r="O5" s="18" t="str">
        <x:v>Interview 5 compliance leads</x:v>
      </x:c>
      <x:c r="P5" s="18" t="str">
        <x:v>Procurement friction</x:v>
      </x:c>
    </x:row>
    <x:row r="6">
      <x:c r="A6" s="18" t="str">
        <x:v>Field-ops photo QA</x:v>
      </x:c>
      <x:c r="B6" s="18" t="str">
        <x:v>Computer vision + facilities ops</x:v>
      </x:c>
      <x:c r="C6" s="18" t="str">
        <x:v>Mobile capture and anomaly scoring</x:v>
      </x:c>
      <x:c r="D6" s="18" t="str">
        <x:v>Ops director</x:v>
      </x:c>
      <x:c r="E6" s="18" t="str">
        <x:v>Installer/agency partners</x:v>
      </x:c>
      <x:c r="F6" s="18" t="str">
        <x:v>Per-site subscription</x:v>
      </x:c>
      <x:c r="G6" s="18" t="n">
        <x:v>3</x:v>
      </x:c>
      <x:c r="H6" s="18" t="n">
        <x:v>3</x:v>
      </x:c>
      <x:c r="I6" s="18" t="n">
        <x:v>4</x:v>
      </x:c>
      <x:c r="J6" s="18" t="n">
        <x:v>4</x:v>
      </x:c>
      <x:c r="K6" s="18" t="n">
        <x:v>4</x:v>
      </x:c>
      <x:c r="L6" s="18" t="n">
        <x:v>3</x:v>
      </x:c>
      <x:c r="M6" s="18" t="n">
        <x:v>4</x:v>
      </x:c>
      <x:c r="N6" s="25" t="n">
        <x:f>0.22*G6+0.18*H6+0.16*I6+0.14*J6+0.12*K6+0.10*L6+0.08*M6</x:f>
        <x:v>3.5000000000000004</x:v>
      </x:c>
      <x:c r="O6" s="18" t="str">
        <x:v>Mock 20-photo audit for one operator</x:v>
      </x:c>
      <x:c r="P6" s="18" t="str">
        <x:v>Data quality and edge cases</x:v>
      </x:c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25"/>
      <x:c r="O7" s="18"/>
      <x:c r="P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25"/>
      <x:c r="O8" s="18"/>
      <x:c r="P8" s="18"/>
    </x:row>
    <x:row r="9">
      <x:c r="A9" s="26" t="str">
        <x:v>Scoring</x:v>
      </x:c>
      <x:c r="B9" s="26" t="str">
        <x:v>D Distribution</x:v>
      </x:c>
      <x:c r="C9" s="26" t="str">
        <x:v>M Monetization</x:v>
      </x:c>
      <x:c r="D9" s="26" t="str">
        <x:v>F Feasibility</x:v>
      </x:c>
      <x:c r="E9" s="26" t="str">
        <x:v>V Value</x:v>
      </x:c>
      <x:c r="F9" s="26" t="str">
        <x:v>S Surprise</x:v>
      </x:c>
      <x:c r="G9" s="18"/>
      <x:c r="H9" s="18"/>
      <x:c r="I9" s="18"/>
      <x:c r="J9" s="18"/>
      <x:c r="K9" s="18"/>
      <x:c r="L9" s="18"/>
      <x:c r="M9" s="18"/>
      <x:c r="N9" s="25"/>
      <x:c r="O9" s="18"/>
      <x:c r="P9" s="18"/>
    </x:row>
    <x:row r="10">
      <x:c r="A10" s="18" t="str">
        <x:v>Formula</x:v>
      </x:c>
      <x:c r="B10" s="18" t="str">
        <x:v>0.22</x:v>
      </x:c>
      <x:c r="C10" s="18" t="str">
        <x:v>0.18</x:v>
      </x:c>
      <x:c r="D10" s="18" t="str">
        <x:v>0.16</x:v>
      </x:c>
      <x:c r="E10" s="18" t="str">
        <x:v>0.14</x:v>
      </x:c>
      <x:c r="F10" s="18" t="str">
        <x:v>0.12</x:v>
      </x:c>
      <x:c r="G10" s="18"/>
      <x:c r="H10" s="18"/>
      <x:c r="I10" s="18"/>
      <x:c r="J10" s="18"/>
      <x:c r="K10" s="18"/>
      <x:c r="L10" s="18"/>
      <x:c r="M10" s="18"/>
      <x:c r="N10" s="25"/>
      <x:c r="O10" s="18"/>
      <x:c r="P10" s="18"/>
    </x:row>
    <x:row r="11">
      <x:c r="A11" s="18" t="str">
        <x:v>Also includes</x:v>
      </x:c>
      <x:c r="B11" s="18" t="str">
        <x:v>R Repeatability 0.10</x:v>
      </x:c>
      <x:c r="C11" s="18" t="str">
        <x:v>X Cross-domain 0.08</x:v>
      </x:c>
      <x:c r="D11" s="18" t="str">
        <x:v>Reject novelty with no buyer</x:v>
      </x:c>
      <x:c r="E11" s="18" t="str">
        <x:v>Prefer 48-hour tests</x:v>
      </x:c>
      <x:c r="F11" s="18" t="str"/>
      <x:c r="G11" s="18"/>
      <x:c r="H11" s="18"/>
      <x:c r="I11" s="18"/>
      <x:c r="J11" s="18"/>
      <x:c r="K11" s="18"/>
      <x:c r="L11" s="18"/>
      <x:c r="M11" s="18"/>
      <x:c r="N11" s="25"/>
      <x:c r="O11" s="18"/>
      <x:c r="P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25"/>
      <x:c r="O12" s="18"/>
      <x:c r="P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25"/>
      <x:c r="O13" s="18"/>
      <x:c r="P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25"/>
      <x:c r="O14" s="18"/>
      <x:c r="P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25"/>
      <x:c r="O15" s="18"/>
      <x:c r="P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25"/>
      <x:c r="O16" s="18"/>
      <x:c r="P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25"/>
      <x:c r="O17" s="18"/>
      <x:c r="P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25"/>
      <x:c r="O18" s="18"/>
      <x:c r="P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25"/>
      <x:c r="O19" s="18"/>
      <x:c r="P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25"/>
      <x:c r="O20" s="18"/>
      <x:c r="P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25"/>
      <x:c r="O21" s="18"/>
      <x:c r="P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25"/>
      <x:c r="O22" s="18"/>
      <x:c r="P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25"/>
      <x:c r="O23" s="18"/>
      <x:c r="P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25"/>
      <x:c r="O24" s="18"/>
      <x:c r="P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25"/>
      <x:c r="O25" s="18"/>
      <x:c r="P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25"/>
      <x:c r="O26" s="18"/>
      <x:c r="P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25"/>
      <x:c r="O27" s="18"/>
      <x:c r="P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25"/>
      <x:c r="O28" s="18"/>
      <x:c r="P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25"/>
      <x:c r="O29" s="18"/>
      <x:c r="P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25"/>
      <x:c r="O30" s="18"/>
      <x:c r="P30" s="18"/>
    </x:row>
  </x:sheetData>
  <x:mergeCells>
    <x:mergeCell ref="A1:P1"/>
  </x:mergeCells>
  <x:dataValidations count="1">
    <x:dataValidation type="whole" operator="between" sqref="G4:M30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ef165acbcae49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11.039999961853027" hidden="0" customWidth="1"/>
    <x:col min="3" max="3" width="12.880000114440918" hidden="0" customWidth="1"/>
    <x:col min="4" max="4" width="12.880000114440918" hidden="0" customWidth="1"/>
    <x:col min="5" max="5" width="12.880000114440918" hidden="0" customWidth="1"/>
    <x:col min="6" max="6" width="31.290000915527344" hidden="0" customWidth="1"/>
    <x:col min="7" max="7" width="3.680000066757202" hidden="0" customWidth="1"/>
    <x:col min="8" max="8" width="13.5" hidden="0" customWidth="1"/>
    <x:col min="9" max="9" width="12.880000114440918" hidden="0" customWidth="1"/>
    <x:col min="10" max="10" width="13.5" hidden="0" customWidth="1"/>
    <x:col min="11" max="11" width="10.430000305175781" hidden="0" customWidth="1"/>
    <x:col min="12" max="12" width="12.880000114440918" hidden="0" customWidth="1"/>
    <x:col min="13" max="13" width="12.880000114440918" hidden="0" customWidth="1"/>
  </x:cols>
  <x:sheetData>
    <x:row r="1" ht="27" customHeight="1">
      <x:c r="A1" s="17" t="str">
        <x:v>财务与单位经济模型</x:v>
      </x:c>
      <x:c r="B1" s="17" t="str">
        <x:v>财务与单位经济模型</x:v>
      </x:c>
      <x:c r="C1" s="17" t="str">
        <x:v>财务与单位经济模型</x:v>
      </x:c>
      <x:c r="D1" s="17" t="str">
        <x:v>财务与单位经济模型</x:v>
      </x:c>
      <x:c r="E1" s="17" t="str">
        <x:v>财务与单位经济模型</x:v>
      </x:c>
      <x:c r="F1" s="17" t="str">
        <x:v>财务与单位经济模型</x:v>
      </x:c>
      <x:c r="G1" s="18"/>
      <x:c r="H1" s="18"/>
      <x:c r="I1" s="18"/>
      <x:c r="J1" s="18"/>
      <x:c r="K1" s="18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3">
      <x:c r="A3" s="19" t="str">
        <x:v>Metric</x:v>
      </x:c>
      <x:c r="B3" s="19" t="str">
        <x:v>Symbol</x:v>
      </x:c>
      <x:c r="C3" s="19" t="str">
        <x:v>Downside</x:v>
      </x:c>
      <x:c r="D3" s="19" t="str">
        <x:v>Base</x:v>
      </x:c>
      <x:c r="E3" s="19" t="str">
        <x:v>Upside</x:v>
      </x:c>
      <x:c r="F3" s="19" t="str">
        <x:v>Formula or Note</x:v>
      </x:c>
      <x:c r="G3" s="18"/>
      <x:c r="H3" s="26" t="str">
        <x:v>Scenario</x:v>
      </x:c>
      <x:c r="I3" s="26" t="str">
        <x:v>MRR</x:v>
      </x:c>
      <x:c r="J3" s="26" t="str">
        <x:v>Gross Profit</x:v>
      </x:c>
      <x:c r="K3" s="26" t="str">
        <x:v>LTV/CAC</x:v>
      </x:c>
    </x:row>
    <x:row r="4">
      <x:c r="A4" s="18" t="str">
        <x:v>Price per account</x:v>
      </x:c>
      <x:c r="B4" s="18" t="str">
        <x:v>P</x:v>
      </x:c>
      <x:c r="C4" s="21" t="n">
        <x:v>99</x:v>
      </x:c>
      <x:c r="D4" s="21" t="n">
        <x:v>199</x:v>
      </x:c>
      <x:c r="E4" s="21" t="n">
        <x:v>399</x:v>
      </x:c>
      <x:c r="F4" s="18" t="str">
        <x:v>Monthly subscription or equivalent</x:v>
      </x:c>
      <x:c r="G4" s="18"/>
      <x:c r="H4" s="18" t="str">
        <x:v>Downside</x:v>
      </x:c>
      <x:c r="I4" s="21" t="n">
        <x:f>C9</x:f>
        <x:v>1980</x:v>
      </x:c>
      <x:c r="J4" s="21" t="n">
        <x:f>C10</x:f>
        <x:v>1287</x:v>
      </x:c>
      <x:c r="K4" s="22" t="n">
        <x:f>C13</x:f>
        <x:v>0.8937500000000002</x:v>
      </x:c>
    </x:row>
    <x:row r="5">
      <x:c r="A5" s="18" t="str">
        <x:v>Accounts</x:v>
      </x:c>
      <x:c r="B5" s="18" t="str">
        <x:v>N</x:v>
      </x:c>
      <x:c r="C5" s="27" t="n">
        <x:v>20</x:v>
      </x:c>
      <x:c r="D5" s="27" t="n">
        <x:v>75</x:v>
      </x:c>
      <x:c r="E5" s="27" t="n">
        <x:v>200</x:v>
      </x:c>
      <x:c r="F5" s="18" t="str">
        <x:v>Paying accounts</x:v>
      </x:c>
      <x:c r="G5" s="18"/>
      <x:c r="H5" s="18" t="str">
        <x:v>Base</x:v>
      </x:c>
      <x:c r="I5" s="21" t="n">
        <x:f>D9</x:f>
        <x:v>14925</x:v>
      </x:c>
      <x:c r="J5" s="21" t="n">
        <x:f>D10</x:f>
        <x:v>11641.5</x:v>
      </x:c>
      <x:c r="K5" s="22" t="n">
        <x:f>D13</x:f>
        <x:v>5.97</x:v>
      </x:c>
    </x:row>
    <x:row r="6">
      <x:c r="A6" s="18" t="str">
        <x:v>Monthly churn</x:v>
      </x:c>
      <x:c r="B6" s="18" t="str">
        <x:v>c</x:v>
      </x:c>
      <x:c r="C6" s="28" t="n">
        <x:v>0.08</x:v>
      </x:c>
      <x:c r="D6" s="28" t="n">
        <x:v>0.04</x:v>
      </x:c>
      <x:c r="E6" s="28" t="n">
        <x:v>0.02</x:v>
      </x:c>
      <x:c r="F6" s="18" t="str">
        <x:v>Logo churn</x:v>
      </x:c>
      <x:c r="G6" s="18"/>
      <x:c r="H6" s="18" t="str">
        <x:v>Upside</x:v>
      </x:c>
      <x:c r="I6" s="21" t="n">
        <x:f>E9</x:f>
        <x:v>79800</x:v>
      </x:c>
      <x:c r="J6" s="21" t="n">
        <x:f>E10</x:f>
        <x:v>68628</x:v>
      </x:c>
      <x:c r="K6" s="22" t="n">
        <x:f>E13</x:f>
        <x:v>38.126666666666665</x:v>
      </x:c>
    </x:row>
    <x:row r="7">
      <x:c r="A7" s="18" t="str">
        <x:v>Gross margin</x:v>
      </x:c>
      <x:c r="B7" s="18" t="str">
        <x:v>GM</x:v>
      </x:c>
      <x:c r="C7" s="28" t="n">
        <x:v>0.65</x:v>
      </x:c>
      <x:c r="D7" s="28" t="n">
        <x:v>0.78</x:v>
      </x:c>
      <x:c r="E7" s="28" t="n">
        <x:v>0.86</x:v>
      </x:c>
      <x:c r="F7" s="18" t="str">
        <x:v>Revenue less variable costs</x:v>
      </x:c>
      <x:c r="G7" s="18"/>
      <x:c r="H7" s="18"/>
      <x:c r="I7" s="18"/>
      <x:c r="J7" s="18"/>
      <x:c r="K7" s="18"/>
    </x:row>
    <x:row r="8">
      <x:c r="A8" s="18" t="str">
        <x:v>CAC</x:v>
      </x:c>
      <x:c r="B8" s="18" t="str">
        <x:v>CAC</x:v>
      </x:c>
      <x:c r="C8" s="21" t="n">
        <x:v>900</x:v>
      </x:c>
      <x:c r="D8" s="21" t="n">
        <x:v>650</x:v>
      </x:c>
      <x:c r="E8" s="21" t="n">
        <x:v>450</x:v>
      </x:c>
      <x:c r="F8" s="18" t="str">
        <x:v>Blended acquisition cost</x:v>
      </x:c>
      <x:c r="G8" s="18"/>
      <x:c r="H8" s="18"/>
      <x:c r="I8" s="18"/>
      <x:c r="J8" s="18"/>
      <x:c r="K8" s="18"/>
    </x:row>
    <x:row r="9">
      <x:c r="A9" s="18" t="str">
        <x:v>MRR</x:v>
      </x:c>
      <x:c r="B9" s="18" t="str">
        <x:v>MRR</x:v>
      </x:c>
      <x:c r="C9" s="21" t="n">
        <x:f>C4*C5</x:f>
        <x:v>1980</x:v>
      </x:c>
      <x:c r="D9" s="21" t="n">
        <x:f>D4*D5</x:f>
        <x:v>14925</x:v>
      </x:c>
      <x:c r="E9" s="21" t="n">
        <x:f>E4*E5</x:f>
        <x:v>79800</x:v>
      </x:c>
      <x:c r="F9" s="18" t="str">
        <x:v>P*N</x:v>
      </x:c>
      <x:c r="G9" s="18"/>
      <x:c r="H9" s="18"/>
      <x:c r="I9" s="18"/>
      <x:c r="J9" s="18"/>
      <x:c r="K9" s="18"/>
    </x:row>
    <x:row r="10">
      <x:c r="A10" s="18" t="str">
        <x:v>Gross profit</x:v>
      </x:c>
      <x:c r="B10" s="18" t="str">
        <x:v>GP</x:v>
      </x:c>
      <x:c r="C10" s="21" t="n">
        <x:f>C9*C7</x:f>
        <x:v>1287</x:v>
      </x:c>
      <x:c r="D10" s="21" t="n">
        <x:f>D9*D7</x:f>
        <x:v>11641.5</x:v>
      </x:c>
      <x:c r="E10" s="21" t="n">
        <x:f>E9*E7</x:f>
        <x:v>68628</x:v>
      </x:c>
      <x:c r="F10" s="18" t="str">
        <x:v>MRR*GM</x:v>
      </x:c>
      <x:c r="G10" s="18"/>
      <x:c r="H10" s="18"/>
      <x:c r="I10" s="18"/>
      <x:c r="J10" s="18"/>
      <x:c r="K10" s="18"/>
    </x:row>
    <x:row r="11">
      <x:c r="A11" s="18" t="str">
        <x:v>CAC payback months</x:v>
      </x:c>
      <x:c r="B11" s="18" t="str">
        <x:v>Payback</x:v>
      </x:c>
      <x:c r="C11" s="23" t="n">
        <x:f>C8/(C4*C7)</x:f>
        <x:v>13.986013986013985</x:v>
      </x:c>
      <x:c r="D11" s="23" t="n">
        <x:f>D8/(D4*D7)</x:f>
        <x:v>4.187604690117253</x:v>
      </x:c>
      <x:c r="E11" s="23" t="n">
        <x:f>E8/(E4*E7)</x:f>
        <x:v>1.3114180800839308</x:v>
      </x:c>
      <x:c r="F11" s="18" t="str">
        <x:v>CAC/(P*GM)</x:v>
      </x:c>
      <x:c r="G11" s="18"/>
      <x:c r="H11" s="18"/>
      <x:c r="I11" s="18"/>
      <x:c r="J11" s="18"/>
      <x:c r="K11" s="18"/>
    </x:row>
    <x:row r="12">
      <x:c r="A12" s="18" t="str">
        <x:v>LTV</x:v>
      </x:c>
      <x:c r="B12" s="18" t="str">
        <x:v>LTV</x:v>
      </x:c>
      <x:c r="C12" s="21" t="n">
        <x:f>(C4*C7)/C6</x:f>
        <x:v>804.3750000000001</x:v>
      </x:c>
      <x:c r="D12" s="21" t="n">
        <x:f>(D4*D7)/D6</x:f>
        <x:v>3880.5</x:v>
      </x:c>
      <x:c r="E12" s="21" t="n">
        <x:f>(E4*E7)/E6</x:f>
        <x:v>17157</x:v>
      </x:c>
      <x:c r="F12" s="18" t="str">
        <x:v>(P*GM)/churn</x:v>
      </x:c>
      <x:c r="G12" s="18"/>
      <x:c r="H12" s="18"/>
      <x:c r="I12" s="18"/>
      <x:c r="J12" s="18"/>
      <x:c r="K12" s="18"/>
    </x:row>
    <x:row r="13">
      <x:c r="A13" s="18" t="str">
        <x:v>LTV/CAC</x:v>
      </x:c>
      <x:c r="B13" s="18" t="str">
        <x:v>LTV_CAC</x:v>
      </x:c>
      <x:c r="C13" s="22" t="n">
        <x:f>C12/C8</x:f>
        <x:v>0.8937500000000002</x:v>
      </x:c>
      <x:c r="D13" s="22" t="n">
        <x:f>D12/D8</x:f>
        <x:v>5.97</x:v>
      </x:c>
      <x:c r="E13" s="22" t="n">
        <x:f>E12/E8</x:f>
        <x:v>38.126666666666665</x:v>
      </x:c>
      <x:c r="F13" s="18" t="str">
        <x:v>LTV/CAC</x:v>
      </x:c>
      <x:c r="G13" s="18"/>
      <x:c r="H13" s="18"/>
      <x:c r="I13" s="18"/>
      <x:c r="J13" s="18"/>
      <x:c r="K13" s="18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39e92a2eefc04685"/>
  <x:tableParts count="1">
    <x:tablePart xmlns:r="http://schemas.openxmlformats.org/officeDocument/2006/relationships" r:id="R47956bed19574d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26.3799991607666" hidden="0" customWidth="1"/>
    <x:col min="3" max="3" width="12.880000114440918" hidden="0" customWidth="1"/>
    <x:col min="4" max="4" width="31.290000915527344" hidden="0" customWidth="1"/>
    <x:col min="5" max="5" width="33.7400016784668" hidden="0" customWidth="1"/>
    <x:col min="6" max="6" width="21.469999313354492" hidden="0" customWidth="1"/>
    <x:col min="7" max="7" width="32.52000045776367" hidden="0" customWidth="1"/>
  </x:cols>
  <x:sheetData>
    <x:row r="1" ht="27" customHeight="1">
      <x:c r="A1" s="17" t="str">
        <x:v>定价与包装</x:v>
      </x:c>
      <x:c r="B1" s="17" t="str">
        <x:v>定价与包装</x:v>
      </x:c>
      <x:c r="C1" s="17" t="str">
        <x:v>定价与包装</x:v>
      </x:c>
      <x:c r="D1" s="17" t="str">
        <x:v>定价与包装</x:v>
      </x:c>
      <x:c r="E1" s="17" t="str">
        <x:v>定价与包装</x:v>
      </x:c>
      <x:c r="F1" s="17" t="str">
        <x:v>定价与包装</x:v>
      </x:c>
      <x:c r="G1" s="17" t="str">
        <x:v>定价与包装</x:v>
      </x:c>
    </x:row>
    <x:row r="2">
      <x:c r="A2" s="18"/>
      <x:c r="B2" s="18"/>
      <x:c r="C2" s="18"/>
      <x:c r="D2" s="18"/>
      <x:c r="E2" s="18"/>
      <x:c r="F2" s="18"/>
      <x:c r="G2" s="18"/>
    </x:row>
    <x:row r="3">
      <x:c r="A3" s="19" t="str">
        <x:v>Package</x:v>
      </x:c>
      <x:c r="B3" s="19" t="str">
        <x:v>Target Buyer</x:v>
      </x:c>
      <x:c r="C3" s="19" t="str">
        <x:v>Price</x:v>
      </x:c>
      <x:c r="D3" s="19" t="str">
        <x:v>Core Promise</x:v>
      </x:c>
      <x:c r="E3" s="19" t="str">
        <x:v>Included</x:v>
      </x:c>
      <x:c r="F3" s="19" t="str">
        <x:v>Limit</x:v>
      </x:c>
      <x:c r="G3" s="19" t="str">
        <x:v>Upgrade Trigger</x:v>
      </x:c>
    </x:row>
    <x:row r="4">
      <x:c r="A4" s="18" t="str">
        <x:v>Entry</x:v>
      </x:c>
      <x:c r="B4" s="18" t="str">
        <x:v>Small team</x:v>
      </x:c>
      <x:c r="C4" s="21" t="n">
        <x:v>99</x:v>
      </x:c>
      <x:c r="D4" s="18" t="str">
        <x:v>Prove value quickly</x:v>
      </x:c>
      <x:c r="E4" s="18" t="str">
        <x:v>Core workflow and email support</x:v>
      </x:c>
      <x:c r="F4" s="18" t="str">
        <x:v>Low volume</x:v>
      </x:c>
      <x:c r="G4" s="18" t="str">
        <x:v>Needs automation or integrations</x:v>
      </x:c>
    </x:row>
    <x:row r="5">
      <x:c r="A5" s="18" t="str">
        <x:v>Core</x:v>
      </x:c>
      <x:c r="B5" s="18" t="str">
        <x:v>Growing team</x:v>
      </x:c>
      <x:c r="C5" s="21" t="n">
        <x:v>299</x:v>
      </x:c>
      <x:c r="D5" s="18" t="str">
        <x:v>Run the workflow end to end</x:v>
      </x:c>
      <x:c r="E5" s="18" t="str">
        <x:v>Automation, integrations, reporting</x:v>
      </x:c>
      <x:c r="F5" s="18" t="str">
        <x:v>Standard volume</x:v>
      </x:c>
      <x:c r="G5" s="18" t="str">
        <x:v>Needs governance or premium support</x:v>
      </x:c>
    </x:row>
    <x:row r="6">
      <x:c r="A6" s="18" t="str">
        <x:v>Premium</x:v>
      </x:c>
      <x:c r="B6" s="18" t="str">
        <x:v>Enterprise or high-risk buyer</x:v>
      </x:c>
      <x:c r="C6" s="21" t="n">
        <x:v>999</x:v>
      </x:c>
      <x:c r="D6" s="18" t="str">
        <x:v>Outcome assurance</x:v>
      </x:c>
      <x:c r="E6" s="18" t="str">
        <x:v>Custom onboarding, SLA, advanced controls</x:v>
      </x:c>
      <x:c r="F6" s="18" t="str">
        <x:v>Custom scope</x:v>
      </x:c>
      <x:c r="G6" s="18" t="str">
        <x:v>Needs strategic services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3cdfa581b034d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020000457763672" hidden="0" customWidth="1"/>
    <x:col min="2" max="2" width="15.34000015258789" hidden="0" customWidth="1"/>
    <x:col min="3" max="3" width="20.25" hidden="0" customWidth="1"/>
    <x:col min="4" max="4" width="27.610000610351562" hidden="0" customWidth="1"/>
    <x:col min="5" max="5" width="15.34000015258789" hidden="0" customWidth="1"/>
    <x:col min="6" max="6" width="16.559999465942383" hidden="0" customWidth="1"/>
    <x:col min="7" max="7" width="29.450000762939453" hidden="0" customWidth="1"/>
    <x:col min="8" max="8" width="12.880000114440918" hidden="0" customWidth="1"/>
    <x:col min="9" max="9" width="12.880000114440918" hidden="0" customWidth="1"/>
    <x:col min="10" max="10" width="12.270000457763672" hidden="0" customWidth="1"/>
    <x:col min="11" max="11" width="15.34000015258789" hidden="0" customWidth="1"/>
  </x:cols>
  <x:sheetData>
    <x:row r="1" ht="27" customHeight="1">
      <x:c r="A1" s="17" t="str">
        <x:v>销售管线</x:v>
      </x:c>
      <x:c r="B1" s="17" t="str">
        <x:v>销售管线</x:v>
      </x:c>
      <x:c r="C1" s="17" t="str">
        <x:v>销售管线</x:v>
      </x:c>
      <x:c r="D1" s="17" t="str">
        <x:v>销售管线</x:v>
      </x:c>
      <x:c r="E1" s="17" t="str">
        <x:v>销售管线</x:v>
      </x:c>
      <x:c r="F1" s="17" t="str">
        <x:v>销售管线</x:v>
      </x:c>
      <x:c r="G1" s="17" t="str">
        <x:v>销售管线</x:v>
      </x:c>
      <x:c r="H1" s="17" t="str">
        <x:v>销售管线</x:v>
      </x:c>
      <x:c r="I1" s="17" t="str">
        <x:v>销售管线</x:v>
      </x:c>
      <x:c r="J1" s="17" t="str">
        <x:v>销售管线</x:v>
      </x:c>
      <x:c r="K1" s="17" t="str">
        <x:v>销售管线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3">
      <x:c r="A3" s="19" t="str">
        <x:v>Account</x:v>
      </x:c>
      <x:c r="B3" s="19" t="str">
        <x:v>Segment</x:v>
      </x:c>
      <x:c r="C3" s="19" t="str">
        <x:v>Buyer</x:v>
      </x:c>
      <x:c r="D3" s="19" t="str">
        <x:v>Trigger</x:v>
      </x:c>
      <x:c r="E3" s="19" t="str">
        <x:v>Stage</x:v>
      </x:c>
      <x:c r="F3" s="19" t="str">
        <x:v>ARR Potential</x:v>
      </x:c>
      <x:c r="G3" s="19" t="str">
        <x:v>Next Step</x:v>
      </x:c>
      <x:c r="H3" s="19" t="str">
        <x:v>Owner</x:v>
      </x:c>
      <x:c r="I3" s="19" t="str">
        <x:v>Due</x:v>
      </x:c>
      <x:c r="J3" s="19" t="str">
        <x:v>Probability</x:v>
      </x:c>
      <x:c r="K3" s="19" t="str">
        <x:v>Weighted ARR</x:v>
      </x:c>
    </x:row>
    <x:row r="4">
      <x:c r="A4" s="18" t="str">
        <x:v>Example Co</x:v>
      </x:c>
      <x:c r="B4" s="18" t="str">
        <x:v>Ops</x:v>
      </x:c>
      <x:c r="C4" s="18" t="str">
        <x:v>VP Operations</x:v>
      </x:c>
      <x:c r="D4" s="18" t="str">
        <x:v>Manual reporting pain</x:v>
      </x:c>
      <x:c r="E4" s="18" t="str">
        <x:v>Discovery</x:v>
      </x:c>
      <x:c r="F4" s="21" t="n">
        <x:v>12000</x:v>
      </x:c>
      <x:c r="G4" s="18" t="str">
        <x:v>Send ROI calculator</x:v>
      </x:c>
      <x:c r="H4" s="18" t="str"/>
      <x:c r="I4" s="24" t="n">
        <x:v>46150</x:v>
      </x:c>
      <x:c r="J4" s="29" t="n">
        <x:v>0.2</x:v>
      </x:c>
      <x:c r="K4" s="21" t="n">
        <x:f>F4*J4</x:f>
        <x:v>2400</x:v>
      </x:c>
    </x:row>
    <x:row r="5">
      <x:c r="A5" s="18" t="str"/>
      <x:c r="B5" s="18" t="str"/>
      <x:c r="C5" s="18" t="str"/>
      <x:c r="D5" s="18" t="str"/>
      <x:c r="E5" s="18" t="str">
        <x:v>Targeted</x:v>
      </x:c>
      <x:c r="F5" s="21" t="str"/>
      <x:c r="G5" s="18" t="str"/>
      <x:c r="H5" s="18" t="str"/>
      <x:c r="I5" s="24" t="str"/>
      <x:c r="J5" s="29" t="n">
        <x:v>0.1</x:v>
      </x:c>
      <x:c r="K5" s="21" t="n">
        <x:f>F5*J5</x:f>
        <x:v>0</x:v>
      </x:c>
    </x:row>
    <x:row r="6">
      <x:c r="A6" s="18" t="str"/>
      <x:c r="B6" s="18" t="str"/>
      <x:c r="C6" s="18" t="str"/>
      <x:c r="D6" s="18" t="str"/>
      <x:c r="E6" s="18" t="str">
        <x:v>Proposal</x:v>
      </x:c>
      <x:c r="F6" s="21" t="str"/>
      <x:c r="G6" s="18" t="str"/>
      <x:c r="H6" s="18" t="str"/>
      <x:c r="I6" s="24" t="str"/>
      <x:c r="J6" s="29" t="n">
        <x:v>0.5</x:v>
      </x:c>
      <x:c r="K6" s="21" t="n">
        <x:f>F6*J6</x:f>
        <x:v>0</x:v>
      </x:c>
    </x:row>
    <x:row r="7">
      <x:c r="A7" s="18"/>
      <x:c r="B7" s="18"/>
      <x:c r="C7" s="18"/>
      <x:c r="D7" s="18"/>
      <x:c r="E7" s="18"/>
      <x:c r="F7" s="21"/>
      <x:c r="G7" s="18"/>
      <x:c r="H7" s="18"/>
      <x:c r="I7" s="24"/>
      <x:c r="J7" s="29"/>
      <x:c r="K7" s="21"/>
    </x:row>
    <x:row r="8">
      <x:c r="A8" s="18"/>
      <x:c r="B8" s="18"/>
      <x:c r="C8" s="18"/>
      <x:c r="D8" s="18"/>
      <x:c r="E8" s="18"/>
      <x:c r="F8" s="21"/>
      <x:c r="G8" s="18"/>
      <x:c r="H8" s="18"/>
      <x:c r="I8" s="24"/>
      <x:c r="J8" s="29"/>
      <x:c r="K8" s="21"/>
    </x:row>
    <x:row r="9">
      <x:c r="A9" s="18"/>
      <x:c r="B9" s="18"/>
      <x:c r="C9" s="18"/>
      <x:c r="D9" s="18"/>
      <x:c r="E9" s="18"/>
      <x:c r="F9" s="21"/>
      <x:c r="G9" s="18"/>
      <x:c r="H9" s="18"/>
      <x:c r="I9" s="24"/>
      <x:c r="J9" s="29"/>
      <x:c r="K9" s="21"/>
    </x:row>
    <x:row r="10">
      <x:c r="A10" s="18"/>
      <x:c r="B10" s="18"/>
      <x:c r="C10" s="18"/>
      <x:c r="D10" s="18"/>
      <x:c r="E10" s="18"/>
      <x:c r="F10" s="21"/>
      <x:c r="G10" s="18"/>
      <x:c r="H10" s="18"/>
      <x:c r="I10" s="24"/>
      <x:c r="J10" s="29"/>
      <x:c r="K10" s="21"/>
    </x:row>
    <x:row r="11">
      <x:c r="A11" s="18"/>
      <x:c r="B11" s="18"/>
      <x:c r="C11" s="18"/>
      <x:c r="D11" s="18"/>
      <x:c r="E11" s="18"/>
      <x:c r="F11" s="21"/>
      <x:c r="G11" s="18"/>
      <x:c r="H11" s="18"/>
      <x:c r="I11" s="24"/>
      <x:c r="J11" s="29"/>
      <x:c r="K11" s="21"/>
    </x:row>
    <x:row r="12">
      <x:c r="A12" s="18"/>
      <x:c r="B12" s="18"/>
      <x:c r="C12" s="18"/>
      <x:c r="D12" s="18"/>
      <x:c r="E12" s="18"/>
      <x:c r="F12" s="21"/>
      <x:c r="G12" s="18"/>
      <x:c r="H12" s="18"/>
      <x:c r="I12" s="24"/>
      <x:c r="J12" s="29"/>
      <x:c r="K12" s="21"/>
    </x:row>
    <x:row r="13">
      <x:c r="A13" s="18"/>
      <x:c r="B13" s="18"/>
      <x:c r="C13" s="18"/>
      <x:c r="D13" s="18"/>
      <x:c r="E13" s="18"/>
      <x:c r="F13" s="21"/>
      <x:c r="G13" s="18"/>
      <x:c r="H13" s="18"/>
      <x:c r="I13" s="24"/>
      <x:c r="J13" s="29"/>
      <x:c r="K13" s="21"/>
    </x:row>
    <x:row r="14">
      <x:c r="A14" s="18"/>
      <x:c r="B14" s="18"/>
      <x:c r="C14" s="18"/>
      <x:c r="D14" s="18"/>
      <x:c r="E14" s="18"/>
      <x:c r="F14" s="21"/>
      <x:c r="G14" s="18"/>
      <x:c r="H14" s="18"/>
      <x:c r="I14" s="24"/>
      <x:c r="J14" s="29"/>
      <x:c r="K14" s="21"/>
    </x:row>
    <x:row r="15">
      <x:c r="A15" s="18"/>
      <x:c r="B15" s="18"/>
      <x:c r="C15" s="18"/>
      <x:c r="D15" s="18"/>
      <x:c r="E15" s="18"/>
      <x:c r="F15" s="21"/>
      <x:c r="G15" s="18"/>
      <x:c r="H15" s="18"/>
      <x:c r="I15" s="24"/>
      <x:c r="J15" s="29"/>
      <x:c r="K15" s="21"/>
    </x:row>
    <x:row r="16">
      <x:c r="A16" s="18"/>
      <x:c r="B16" s="18"/>
      <x:c r="C16" s="18"/>
      <x:c r="D16" s="18"/>
      <x:c r="E16" s="18"/>
      <x:c r="F16" s="21"/>
      <x:c r="G16" s="18"/>
      <x:c r="H16" s="18"/>
      <x:c r="I16" s="24"/>
      <x:c r="J16" s="29"/>
      <x:c r="K16" s="21"/>
    </x:row>
    <x:row r="17">
      <x:c r="A17" s="18"/>
      <x:c r="B17" s="18"/>
      <x:c r="C17" s="18"/>
      <x:c r="D17" s="18"/>
      <x:c r="E17" s="18"/>
      <x:c r="F17" s="21"/>
      <x:c r="G17" s="18"/>
      <x:c r="H17" s="18"/>
      <x:c r="I17" s="24"/>
      <x:c r="J17" s="29"/>
      <x:c r="K17" s="21"/>
    </x:row>
    <x:row r="18">
      <x:c r="A18" s="18"/>
      <x:c r="B18" s="18"/>
      <x:c r="C18" s="18"/>
      <x:c r="D18" s="18"/>
      <x:c r="E18" s="18"/>
      <x:c r="F18" s="21"/>
      <x:c r="G18" s="18"/>
      <x:c r="H18" s="18"/>
      <x:c r="I18" s="24"/>
      <x:c r="J18" s="29"/>
      <x:c r="K18" s="21"/>
    </x:row>
    <x:row r="19">
      <x:c r="A19" s="18"/>
      <x:c r="B19" s="18"/>
      <x:c r="C19" s="18"/>
      <x:c r="D19" s="18"/>
      <x:c r="E19" s="18"/>
      <x:c r="F19" s="21"/>
      <x:c r="G19" s="18"/>
      <x:c r="H19" s="18"/>
      <x:c r="I19" s="24"/>
      <x:c r="J19" s="29"/>
      <x:c r="K19" s="21"/>
    </x:row>
    <x:row r="20">
      <x:c r="A20" s="18"/>
      <x:c r="B20" s="18"/>
      <x:c r="C20" s="18"/>
      <x:c r="D20" s="18"/>
      <x:c r="E20" s="18"/>
      <x:c r="F20" s="21"/>
      <x:c r="G20" s="18"/>
      <x:c r="H20" s="18"/>
      <x:c r="I20" s="24"/>
      <x:c r="J20" s="29"/>
      <x:c r="K20" s="21"/>
    </x:row>
    <x:row r="21">
      <x:c r="A21" s="18"/>
      <x:c r="B21" s="18"/>
      <x:c r="C21" s="18"/>
      <x:c r="D21" s="18"/>
      <x:c r="E21" s="18"/>
      <x:c r="F21" s="21"/>
      <x:c r="G21" s="18"/>
      <x:c r="H21" s="18"/>
      <x:c r="I21" s="24"/>
      <x:c r="J21" s="29"/>
      <x:c r="K21" s="21"/>
    </x:row>
    <x:row r="22">
      <x:c r="A22" s="18"/>
      <x:c r="B22" s="18"/>
      <x:c r="C22" s="18"/>
      <x:c r="D22" s="18"/>
      <x:c r="E22" s="18"/>
      <x:c r="F22" s="21"/>
      <x:c r="G22" s="18"/>
      <x:c r="H22" s="18"/>
      <x:c r="I22" s="24"/>
      <x:c r="J22" s="29"/>
      <x:c r="K22" s="21"/>
    </x:row>
    <x:row r="23">
      <x:c r="A23" s="18"/>
      <x:c r="B23" s="18"/>
      <x:c r="C23" s="18"/>
      <x:c r="D23" s="18"/>
      <x:c r="E23" s="18"/>
      <x:c r="F23" s="21"/>
      <x:c r="G23" s="18"/>
      <x:c r="H23" s="18"/>
      <x:c r="I23" s="24"/>
      <x:c r="J23" s="29"/>
      <x:c r="K23" s="21"/>
    </x:row>
    <x:row r="24">
      <x:c r="A24" s="18"/>
      <x:c r="B24" s="18"/>
      <x:c r="C24" s="18"/>
      <x:c r="D24" s="18"/>
      <x:c r="E24" s="18"/>
      <x:c r="F24" s="21"/>
      <x:c r="G24" s="18"/>
      <x:c r="H24" s="18"/>
      <x:c r="I24" s="24"/>
      <x:c r="J24" s="29"/>
      <x:c r="K24" s="21"/>
    </x:row>
    <x:row r="25">
      <x:c r="A25" s="18"/>
      <x:c r="B25" s="18"/>
      <x:c r="C25" s="18"/>
      <x:c r="D25" s="18"/>
      <x:c r="E25" s="18"/>
      <x:c r="F25" s="21"/>
      <x:c r="G25" s="18"/>
      <x:c r="H25" s="18"/>
      <x:c r="I25" s="24"/>
      <x:c r="J25" s="29"/>
      <x:c r="K25" s="21"/>
    </x:row>
    <x:row r="26">
      <x:c r="A26" s="18"/>
      <x:c r="B26" s="18"/>
      <x:c r="C26" s="18"/>
      <x:c r="D26" s="18"/>
      <x:c r="E26" s="18"/>
      <x:c r="F26" s="21"/>
      <x:c r="G26" s="18"/>
      <x:c r="H26" s="18"/>
      <x:c r="I26" s="24"/>
      <x:c r="J26" s="29"/>
      <x:c r="K26" s="21"/>
    </x:row>
    <x:row r="27">
      <x:c r="A27" s="18"/>
      <x:c r="B27" s="18"/>
      <x:c r="C27" s="18"/>
      <x:c r="D27" s="18"/>
      <x:c r="E27" s="18"/>
      <x:c r="F27" s="21"/>
      <x:c r="G27" s="18"/>
      <x:c r="H27" s="18"/>
      <x:c r="I27" s="24"/>
      <x:c r="J27" s="29"/>
      <x:c r="K27" s="21"/>
    </x:row>
    <x:row r="28">
      <x:c r="A28" s="18"/>
      <x:c r="B28" s="18"/>
      <x:c r="C28" s="18"/>
      <x:c r="D28" s="18"/>
      <x:c r="E28" s="18"/>
      <x:c r="F28" s="21"/>
      <x:c r="G28" s="18"/>
      <x:c r="H28" s="18"/>
      <x:c r="I28" s="24"/>
      <x:c r="J28" s="29"/>
      <x:c r="K28" s="21"/>
    </x:row>
    <x:row r="29">
      <x:c r="A29" s="18"/>
      <x:c r="B29" s="18"/>
      <x:c r="C29" s="18"/>
      <x:c r="D29" s="18"/>
      <x:c r="E29" s="18"/>
      <x:c r="F29" s="21"/>
      <x:c r="G29" s="18"/>
      <x:c r="H29" s="18"/>
      <x:c r="I29" s="24"/>
      <x:c r="J29" s="29"/>
      <x:c r="K29" s="21"/>
    </x:row>
    <x:row r="30">
      <x:c r="A30" s="18"/>
      <x:c r="B30" s="18"/>
      <x:c r="C30" s="18"/>
      <x:c r="D30" s="18"/>
      <x:c r="E30" s="18"/>
      <x:c r="F30" s="21"/>
      <x:c r="G30" s="18"/>
      <x:c r="H30" s="18"/>
      <x:c r="I30" s="24"/>
      <x:c r="J30" s="29"/>
      <x:c r="K30" s="21"/>
    </x:row>
    <x:row r="31">
      <x:c r="A31" s="18"/>
      <x:c r="B31" s="18"/>
      <x:c r="C31" s="18"/>
      <x:c r="D31" s="18"/>
      <x:c r="E31" s="18"/>
      <x:c r="F31" s="21"/>
      <x:c r="G31" s="18"/>
      <x:c r="H31" s="18"/>
      <x:c r="I31" s="24"/>
      <x:c r="J31" s="29"/>
      <x:c r="K31" s="21"/>
    </x:row>
    <x:row r="32">
      <x:c r="A32" s="18"/>
      <x:c r="B32" s="18"/>
      <x:c r="C32" s="18"/>
      <x:c r="D32" s="18"/>
      <x:c r="E32" s="18"/>
      <x:c r="F32" s="21"/>
      <x:c r="G32" s="18"/>
      <x:c r="H32" s="18"/>
      <x:c r="I32" s="24"/>
      <x:c r="J32" s="29"/>
      <x:c r="K32" s="21"/>
    </x:row>
    <x:row r="33">
      <x:c r="A33" s="18"/>
      <x:c r="B33" s="18"/>
      <x:c r="C33" s="18"/>
      <x:c r="D33" s="18"/>
      <x:c r="E33" s="18"/>
      <x:c r="F33" s="21"/>
      <x:c r="G33" s="18"/>
      <x:c r="H33" s="18"/>
      <x:c r="I33" s="24"/>
      <x:c r="J33" s="29"/>
      <x:c r="K33" s="21"/>
    </x:row>
    <x:row r="34">
      <x:c r="A34" s="18"/>
      <x:c r="B34" s="18"/>
      <x:c r="C34" s="18"/>
      <x:c r="D34" s="18"/>
      <x:c r="E34" s="18"/>
      <x:c r="F34" s="21"/>
      <x:c r="G34" s="18"/>
      <x:c r="H34" s="18"/>
      <x:c r="I34" s="24"/>
      <x:c r="J34" s="29"/>
      <x:c r="K34" s="21"/>
    </x:row>
    <x:row r="35">
      <x:c r="A35" s="18"/>
      <x:c r="B35" s="18"/>
      <x:c r="C35" s="18"/>
      <x:c r="D35" s="18"/>
      <x:c r="E35" s="18"/>
      <x:c r="F35" s="21"/>
      <x:c r="G35" s="18"/>
      <x:c r="H35" s="18"/>
      <x:c r="I35" s="24"/>
      <x:c r="J35" s="29"/>
      <x:c r="K35" s="21"/>
    </x:row>
    <x:row r="36">
      <x:c r="A36" s="18"/>
      <x:c r="B36" s="18"/>
      <x:c r="C36" s="18"/>
      <x:c r="D36" s="18"/>
      <x:c r="E36" s="18"/>
      <x:c r="F36" s="21"/>
      <x:c r="G36" s="18"/>
      <x:c r="H36" s="18"/>
      <x:c r="I36" s="24"/>
      <x:c r="J36" s="29"/>
      <x:c r="K36" s="21"/>
    </x:row>
    <x:row r="37">
      <x:c r="A37" s="18"/>
      <x:c r="B37" s="18"/>
      <x:c r="C37" s="18"/>
      <x:c r="D37" s="18"/>
      <x:c r="E37" s="18"/>
      <x:c r="F37" s="21"/>
      <x:c r="G37" s="18"/>
      <x:c r="H37" s="18"/>
      <x:c r="I37" s="24"/>
      <x:c r="J37" s="29"/>
      <x:c r="K37" s="21"/>
    </x:row>
    <x:row r="38">
      <x:c r="A38" s="18"/>
      <x:c r="B38" s="18"/>
      <x:c r="C38" s="18"/>
      <x:c r="D38" s="18"/>
      <x:c r="E38" s="18"/>
      <x:c r="F38" s="21"/>
      <x:c r="G38" s="18"/>
      <x:c r="H38" s="18"/>
      <x:c r="I38" s="24"/>
      <x:c r="J38" s="29"/>
      <x:c r="K38" s="21"/>
    </x:row>
    <x:row r="39">
      <x:c r="A39" s="18"/>
      <x:c r="B39" s="18"/>
      <x:c r="C39" s="18"/>
      <x:c r="D39" s="18"/>
      <x:c r="E39" s="18"/>
      <x:c r="F39" s="21"/>
      <x:c r="G39" s="18"/>
      <x:c r="H39" s="18"/>
      <x:c r="I39" s="24"/>
      <x:c r="J39" s="29"/>
      <x:c r="K39" s="21"/>
    </x:row>
    <x:row r="40">
      <x:c r="A40" s="18"/>
      <x:c r="B40" s="18"/>
      <x:c r="C40" s="18"/>
      <x:c r="D40" s="18"/>
      <x:c r="E40" s="18"/>
      <x:c r="F40" s="21"/>
      <x:c r="G40" s="18"/>
      <x:c r="H40" s="18"/>
      <x:c r="I40" s="24"/>
      <x:c r="J40" s="29"/>
      <x:c r="K40" s="21"/>
    </x:row>
  </x:sheetData>
  <x:mergeCells>
    <x:mergeCell ref="A1:K1"/>
  </x:mergeCells>
  <x:dataValidations count="1">
    <x:dataValidation type="list" sqref="E4:E6">
      <x:formula1>"Targeted,Discovery,Demo,Proposal,Closed Won,Closed Lost"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771f26a9a248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14.109999656677246" hidden="0" customWidth="1"/>
    <x:col min="3" max="3" width="31.290000915527344" hidden="0" customWidth="1"/>
    <x:col min="4" max="4" width="12.880000114440918" hidden="0" customWidth="1"/>
    <x:col min="5" max="5" width="11.039999961853027" hidden="0" customWidth="1"/>
    <x:col min="6" max="6" width="31.290000915527344" hidden="0" customWidth="1"/>
    <x:col min="7" max="7" width="12.880000114440918" hidden="0" customWidth="1"/>
    <x:col min="8" max="8" width="12.880000114440918" hidden="0" customWidth="1"/>
  </x:cols>
  <x:sheetData>
    <x:row r="1" ht="27" customHeight="1">
      <x:c r="A1" s="17" t="str">
        <x:v>风险登记表</x:v>
      </x:c>
      <x:c r="B1" s="17" t="str">
        <x:v>风险登记表</x:v>
      </x:c>
      <x:c r="C1" s="17" t="str">
        <x:v>风险登记表</x:v>
      </x:c>
      <x:c r="D1" s="17" t="str">
        <x:v>风险登记表</x:v>
      </x:c>
      <x:c r="E1" s="17" t="str">
        <x:v>风险登记表</x:v>
      </x:c>
      <x:c r="F1" s="17" t="str">
        <x:v>风险登记表</x:v>
      </x:c>
      <x:c r="G1" s="17" t="str">
        <x:v>风险登记表</x:v>
      </x:c>
      <x:c r="H1" s="17" t="str">
        <x:v>风险登记表</x:v>
      </x:c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19" t="str">
        <x:v>Risk</x:v>
      </x:c>
      <x:c r="B3" s="19" t="str">
        <x:v>Category</x:v>
      </x:c>
      <x:c r="C3" s="19" t="str">
        <x:v>Signal</x:v>
      </x:c>
      <x:c r="D3" s="19" t="str">
        <x:v>Probability</x:v>
      </x:c>
      <x:c r="E3" s="19" t="str">
        <x:v>Impact</x:v>
      </x:c>
      <x:c r="F3" s="19" t="str">
        <x:v>Mitigation</x:v>
      </x:c>
      <x:c r="G3" s="19" t="str">
        <x:v>Owner</x:v>
      </x:c>
      <x:c r="H3" s="19" t="str">
        <x:v>Status</x:v>
      </x:c>
    </x:row>
    <x:row r="4">
      <x:c r="A4" s="18" t="str">
        <x:v>No urgent buyer</x:v>
      </x:c>
      <x:c r="B4" s="18" t="str">
        <x:v>Commercial</x:v>
      </x:c>
      <x:c r="C4" s="18" t="str">
        <x:v>Discovery calls praise but no budget</x:v>
      </x:c>
      <x:c r="D4" s="18" t="str">
        <x:v>Medium</x:v>
      </x:c>
      <x:c r="E4" s="18" t="str">
        <x:v>High</x:v>
      </x:c>
      <x:c r="F4" s="18" t="str">
        <x:v>Test paid pilot offer</x:v>
      </x:c>
      <x:c r="G4" s="18" t="str"/>
      <x:c r="H4" s="18" t="str">
        <x:v>Open</x:v>
      </x:c>
    </x:row>
    <x:row r="5">
      <x:c r="A5" s="18" t="str">
        <x:v>Scope creep</x:v>
      </x:c>
      <x:c r="B5" s="18" t="str">
        <x:v>Product</x:v>
      </x:c>
      <x:c r="C5" s="18" t="str">
        <x:v>Custom requests exceed P0</x:v>
      </x:c>
      <x:c r="D5" s="18" t="str">
        <x:v>Medium</x:v>
      </x:c>
      <x:c r="E5" s="18" t="str">
        <x:v>Medium</x:v>
      </x:c>
      <x:c r="F5" s="18" t="str">
        <x:v>Keep non-goals explicit</x:v>
      </x:c>
      <x:c r="G5" s="18" t="str"/>
      <x:c r="H5" s="18" t="str">
        <x:v>Open</x:v>
      </x:c>
    </x:row>
    <x:row r="6">
      <x:c r="A6" s="18" t="str">
        <x:v>Reliability miss</x:v>
      </x:c>
      <x:c r="B6" s="18" t="str">
        <x:v>Engineering</x:v>
      </x:c>
      <x:c r="C6" s="18" t="str">
        <x:v>P95 latency above target</x:v>
      </x:c>
      <x:c r="D6" s="18" t="str">
        <x:v>Low</x:v>
      </x:c>
      <x:c r="E6" s="18" t="str">
        <x:v>High</x:v>
      </x:c>
      <x:c r="F6" s="18" t="str">
        <x:v>Add performance gate and rollback plan</x:v>
      </x:c>
      <x:c r="G6" s="18" t="str"/>
      <x:c r="H6" s="18" t="str">
        <x:v>Open</x:v>
      </x:c>
    </x:row>
    <x:row r="7">
      <x:c r="A7" s="18" t="str">
        <x:v>CAC too high</x:v>
      </x:c>
      <x:c r="B7" s="18" t="str">
        <x:v>Finance</x:v>
      </x:c>
      <x:c r="C7" s="18" t="str">
        <x:v>Payback above 12 months</x:v>
      </x:c>
      <x:c r="D7" s="18" t="str">
        <x:v>Medium</x:v>
      </x:c>
      <x:c r="E7" s="18" t="str">
        <x:v>High</x:v>
      </x:c>
      <x:c r="F7" s="18" t="str">
        <x:v>Shift channel mix or raise price</x:v>
      </x:c>
      <x:c r="G7" s="18" t="str"/>
      <x:c r="H7" s="18" t="str">
        <x:v>Open</x:v>
      </x:c>
    </x:row>
  </x:sheetData>
  <x:mergeCells>
    <x:mergeCell ref="A1:H1"/>
  </x:mergeCells>
  <x:dataValidations count="3">
    <x:dataValidation type="list" sqref="D4:D7">
      <x:formula1>"Low,Medium,High"</x:formula1>
    </x:dataValidation>
    <x:dataValidation type="list" sqref="E4:E7">
      <x:formula1>"Low,Medium,High"</x:formula1>
    </x:dataValidation>
    <x:dataValidation type="list" sqref="H4:H7">
      <x:formula1>"Open,Watching,Mitigated,Closed,Blocked"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962fa1d95141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36.20000076293945" hidden="0" customWidth="1"/>
    <x:col min="3" max="3" width="14.109999656677246" hidden="0" customWidth="1"/>
    <x:col min="4" max="4" width="12.880000114440918" hidden="0" customWidth="1"/>
    <x:col min="5" max="5" width="14.109999656677246" hidden="0" customWidth="1"/>
    <x:col min="6" max="6" width="31.290000915527344" hidden="0" customWidth="1"/>
  </x:cols>
  <x:sheetData>
    <x:row r="1" ht="27" customHeight="1">
      <x:c r="A1" s="17" t="str">
        <x:v>发布检查表</x:v>
      </x:c>
      <x:c r="B1" s="17" t="str">
        <x:v>发布检查表</x:v>
      </x:c>
      <x:c r="C1" s="17" t="str">
        <x:v>发布检查表</x:v>
      </x:c>
      <x:c r="D1" s="17" t="str">
        <x:v>发布检查表</x:v>
      </x:c>
      <x:c r="E1" s="17" t="str">
        <x:v>发布检查表</x:v>
      </x:c>
      <x:c r="F1" s="17" t="str">
        <x:v>发布检查表</x:v>
      </x:c>
    </x:row>
    <x:row r="2">
      <x:c r="A2" s="18"/>
      <x:c r="B2" s="18"/>
      <x:c r="C2" s="18"/>
      <x:c r="D2" s="18"/>
      <x:c r="E2" s="18"/>
      <x:c r="F2" s="18"/>
    </x:row>
    <x:row r="3">
      <x:c r="A3" s="19" t="str">
        <x:v>Workstream</x:v>
      </x:c>
      <x:c r="B3" s="19" t="str">
        <x:v>Item</x:v>
      </x:c>
      <x:c r="C3" s="19" t="str">
        <x:v>Owner</x:v>
      </x:c>
      <x:c r="D3" s="19" t="str">
        <x:v>Due</x:v>
      </x:c>
      <x:c r="E3" s="19" t="str">
        <x:v>Status</x:v>
      </x:c>
      <x:c r="F3" s="19" t="str">
        <x:v>Evidence</x:v>
      </x:c>
    </x:row>
    <x:row r="4">
      <x:c r="A4" s="18" t="str">
        <x:v>Product</x:v>
      </x:c>
      <x:c r="B4" s="18" t="str">
        <x:v>P0 acceptance criteria signed off</x:v>
      </x:c>
      <x:c r="C4" s="18" t="str"/>
      <x:c r="D4" s="24" t="str"/>
      <x:c r="E4" s="18" t="str">
        <x:v>Not Started</x:v>
      </x:c>
      <x:c r="F4" s="18" t="str"/>
    </x:row>
    <x:row r="5">
      <x:c r="A5" s="18" t="str">
        <x:v>Engineering</x:v>
      </x:c>
      <x:c r="B5" s="18" t="str">
        <x:v>Production observability enabled</x:v>
      </x:c>
      <x:c r="C5" s="18" t="str"/>
      <x:c r="D5" s="24" t="str"/>
      <x:c r="E5" s="18" t="str">
        <x:v>Not Started</x:v>
      </x:c>
      <x:c r="F5" s="18" t="str"/>
    </x:row>
    <x:row r="6">
      <x:c r="A6" s="18" t="str">
        <x:v>QA</x:v>
      </x:c>
      <x:c r="B6" s="18" t="str">
        <x:v>Release gate passed</x:v>
      </x:c>
      <x:c r="C6" s="18" t="str"/>
      <x:c r="D6" s="24" t="str"/>
      <x:c r="E6" s="18" t="str">
        <x:v>Not Started</x:v>
      </x:c>
      <x:c r="F6" s="18" t="str"/>
    </x:row>
    <x:row r="7">
      <x:c r="A7" s="18" t="str">
        <x:v>GTM</x:v>
      </x:c>
      <x:c r="B7" s="18" t="str">
        <x:v>Landing page published</x:v>
      </x:c>
      <x:c r="C7" s="18" t="str"/>
      <x:c r="D7" s="24" t="str"/>
      <x:c r="E7" s="18" t="str">
        <x:v>Not Started</x:v>
      </x:c>
      <x:c r="F7" s="18" t="str"/>
    </x:row>
    <x:row r="8">
      <x:c r="A8" s="18" t="str">
        <x:v>Sales</x:v>
      </x:c>
      <x:c r="B8" s="18" t="str">
        <x:v>First 50 target accounts loaded</x:v>
      </x:c>
      <x:c r="C8" s="18" t="str"/>
      <x:c r="D8" s="24" t="str"/>
      <x:c r="E8" s="18" t="str">
        <x:v>Not Started</x:v>
      </x:c>
      <x:c r="F8" s="18" t="str"/>
    </x:row>
    <x:row r="9">
      <x:c r="A9" s="18" t="str">
        <x:v>Finance</x:v>
      </x:c>
      <x:c r="B9" s="18" t="str">
        <x:v>Pricing and ROI calculator reviewed</x:v>
      </x:c>
      <x:c r="C9" s="18" t="str"/>
      <x:c r="D9" s="24" t="str"/>
      <x:c r="E9" s="18" t="str">
        <x:v>Not Started</x:v>
      </x:c>
      <x:c r="F9" s="18" t="str"/>
    </x:row>
    <x:row r="10">
      <x:c r="A10" s="18" t="str">
        <x:v>Support</x:v>
      </x:c>
      <x:c r="B10" s="18" t="str">
        <x:v>Onboarding and FAQ ready</x:v>
      </x:c>
      <x:c r="C10" s="18" t="str"/>
      <x:c r="D10" s="24" t="str"/>
      <x:c r="E10" s="18" t="str">
        <x:v>Not Started</x:v>
      </x:c>
      <x:c r="F10" s="18" t="str"/>
    </x:row>
    <x:row r="11">
      <x:c r="A11" s="18"/>
      <x:c r="B11" s="18"/>
      <x:c r="C11" s="18"/>
      <x:c r="D11" s="24"/>
      <x:c r="E11" s="18"/>
      <x:c r="F11" s="18"/>
    </x:row>
    <x:row r="12">
      <x:c r="A12" s="18"/>
      <x:c r="B12" s="18"/>
      <x:c r="C12" s="18"/>
      <x:c r="D12" s="24"/>
      <x:c r="E12" s="18"/>
      <x:c r="F12" s="18"/>
    </x:row>
    <x:row r="13">
      <x:c r="A13" s="18"/>
      <x:c r="B13" s="18"/>
      <x:c r="C13" s="18"/>
      <x:c r="D13" s="24"/>
      <x:c r="E13" s="18"/>
      <x:c r="F13" s="18"/>
    </x:row>
    <x:row r="14">
      <x:c r="A14" s="18"/>
      <x:c r="B14" s="18"/>
      <x:c r="C14" s="18"/>
      <x:c r="D14" s="24"/>
      <x:c r="E14" s="18"/>
      <x:c r="F14" s="18"/>
    </x:row>
    <x:row r="15">
      <x:c r="A15" s="18"/>
      <x:c r="B15" s="18"/>
      <x:c r="C15" s="18"/>
      <x:c r="D15" s="24"/>
      <x:c r="E15" s="18"/>
      <x:c r="F15" s="18"/>
    </x:row>
    <x:row r="16">
      <x:c r="A16" s="18"/>
      <x:c r="B16" s="18"/>
      <x:c r="C16" s="18"/>
      <x:c r="D16" s="24"/>
      <x:c r="E16" s="18"/>
      <x:c r="F16" s="18"/>
    </x:row>
    <x:row r="17">
      <x:c r="A17" s="18"/>
      <x:c r="B17" s="18"/>
      <x:c r="C17" s="18"/>
      <x:c r="D17" s="24"/>
      <x:c r="E17" s="18"/>
      <x:c r="F17" s="18"/>
    </x:row>
    <x:row r="18">
      <x:c r="A18" s="18"/>
      <x:c r="B18" s="18"/>
      <x:c r="C18" s="18"/>
      <x:c r="D18" s="24"/>
      <x:c r="E18" s="18"/>
      <x:c r="F18" s="18"/>
    </x:row>
    <x:row r="19">
      <x:c r="A19" s="18"/>
      <x:c r="B19" s="18"/>
      <x:c r="C19" s="18"/>
      <x:c r="D19" s="24"/>
      <x:c r="E19" s="18"/>
      <x:c r="F19" s="18"/>
    </x:row>
    <x:row r="20">
      <x:c r="A20" s="18"/>
      <x:c r="B20" s="18"/>
      <x:c r="C20" s="18"/>
      <x:c r="D20" s="24"/>
      <x:c r="E20" s="18"/>
      <x:c r="F20" s="18"/>
    </x:row>
    <x:row r="21">
      <x:c r="A21" s="18"/>
      <x:c r="B21" s="18"/>
      <x:c r="C21" s="18"/>
      <x:c r="D21" s="24"/>
      <x:c r="E21" s="18"/>
      <x:c r="F21" s="18"/>
    </x:row>
    <x:row r="22">
      <x:c r="A22" s="18"/>
      <x:c r="B22" s="18"/>
      <x:c r="C22" s="18"/>
      <x:c r="D22" s="24"/>
      <x:c r="E22" s="18"/>
      <x:c r="F22" s="18"/>
    </x:row>
    <x:row r="23">
      <x:c r="A23" s="18"/>
      <x:c r="B23" s="18"/>
      <x:c r="C23" s="18"/>
      <x:c r="D23" s="24"/>
      <x:c r="E23" s="18"/>
      <x:c r="F23" s="18"/>
    </x:row>
    <x:row r="24">
      <x:c r="A24" s="18"/>
      <x:c r="B24" s="18"/>
      <x:c r="C24" s="18"/>
      <x:c r="D24" s="24"/>
      <x:c r="E24" s="18"/>
      <x:c r="F24" s="18"/>
    </x:row>
    <x:row r="25">
      <x:c r="A25" s="18"/>
      <x:c r="B25" s="18"/>
      <x:c r="C25" s="18"/>
      <x:c r="D25" s="24"/>
      <x:c r="E25" s="18"/>
      <x:c r="F25" s="18"/>
    </x:row>
    <x:row r="26">
      <x:c r="A26" s="18"/>
      <x:c r="B26" s="18"/>
      <x:c r="C26" s="18"/>
      <x:c r="D26" s="24"/>
      <x:c r="E26" s="18"/>
      <x:c r="F26" s="18"/>
    </x:row>
    <x:row r="27">
      <x:c r="A27" s="18"/>
      <x:c r="B27" s="18"/>
      <x:c r="C27" s="18"/>
      <x:c r="D27" s="24"/>
      <x:c r="E27" s="18"/>
      <x:c r="F27" s="18"/>
    </x:row>
    <x:row r="28">
      <x:c r="A28" s="18"/>
      <x:c r="B28" s="18"/>
      <x:c r="C28" s="18"/>
      <x:c r="D28" s="24"/>
      <x:c r="E28" s="18"/>
      <x:c r="F28" s="18"/>
    </x:row>
    <x:row r="29">
      <x:c r="A29" s="18"/>
      <x:c r="B29" s="18"/>
      <x:c r="C29" s="18"/>
      <x:c r="D29" s="24"/>
      <x:c r="E29" s="18"/>
      <x:c r="F29" s="18"/>
    </x:row>
    <x:row r="30">
      <x:c r="A30" s="18"/>
      <x:c r="B30" s="18"/>
      <x:c r="C30" s="18"/>
      <x:c r="D30" s="24"/>
      <x:c r="E30" s="18"/>
      <x:c r="F30" s="18"/>
    </x:row>
    <x:row r="31">
      <x:c r="A31" s="18"/>
      <x:c r="B31" s="18"/>
      <x:c r="C31" s="18"/>
      <x:c r="D31" s="24"/>
      <x:c r="E31" s="18"/>
      <x:c r="F31" s="18"/>
    </x:row>
    <x:row r="32">
      <x:c r="A32" s="18"/>
      <x:c r="B32" s="18"/>
      <x:c r="C32" s="18"/>
      <x:c r="D32" s="24"/>
      <x:c r="E32" s="18"/>
      <x:c r="F32" s="18"/>
    </x:row>
    <x:row r="33">
      <x:c r="A33" s="18"/>
      <x:c r="B33" s="18"/>
      <x:c r="C33" s="18"/>
      <x:c r="D33" s="24"/>
      <x:c r="E33" s="18"/>
      <x:c r="F33" s="18"/>
    </x:row>
    <x:row r="34">
      <x:c r="A34" s="18"/>
      <x:c r="B34" s="18"/>
      <x:c r="C34" s="18"/>
      <x:c r="D34" s="24"/>
      <x:c r="E34" s="18"/>
      <x:c r="F34" s="18"/>
    </x:row>
    <x:row r="35">
      <x:c r="A35" s="18"/>
      <x:c r="B35" s="18"/>
      <x:c r="C35" s="18"/>
      <x:c r="D35" s="24"/>
      <x:c r="E35" s="18"/>
      <x:c r="F35" s="18"/>
    </x:row>
    <x:row r="36">
      <x:c r="A36" s="18"/>
      <x:c r="B36" s="18"/>
      <x:c r="C36" s="18"/>
      <x:c r="D36" s="24"/>
      <x:c r="E36" s="18"/>
      <x:c r="F36" s="18"/>
    </x:row>
    <x:row r="37">
      <x:c r="A37" s="18"/>
      <x:c r="B37" s="18"/>
      <x:c r="C37" s="18"/>
      <x:c r="D37" s="24"/>
      <x:c r="E37" s="18"/>
      <x:c r="F37" s="18"/>
    </x:row>
    <x:row r="38">
      <x:c r="A38" s="18"/>
      <x:c r="B38" s="18"/>
      <x:c r="C38" s="18"/>
      <x:c r="D38" s="24"/>
      <x:c r="E38" s="18"/>
      <x:c r="F38" s="18"/>
    </x:row>
    <x:row r="39">
      <x:c r="A39" s="18"/>
      <x:c r="B39" s="18"/>
      <x:c r="C39" s="18"/>
      <x:c r="D39" s="24"/>
      <x:c r="E39" s="18"/>
      <x:c r="F39" s="18"/>
    </x:row>
    <x:row r="40">
      <x:c r="A40" s="18"/>
      <x:c r="B40" s="18"/>
      <x:c r="C40" s="18"/>
      <x:c r="D40" s="24"/>
      <x:c r="E40" s="18"/>
      <x:c r="F40" s="18"/>
    </x:row>
  </x:sheetData>
  <x:mergeCells>
    <x:mergeCell ref="A1:F1"/>
  </x:mergeCells>
  <x:dataValidations count="1">
    <x:dataValidation type="list" sqref="E4:E10">
      <x:formula1>"Not Started,Draft,In Progress,Blocked,Ready,Done"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8b422b9f11420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37.41999816894531" hidden="0" customWidth="1"/>
    <x:col min="3" max="3" width="14.720000267028809" hidden="0" customWidth="1"/>
    <x:col min="4" max="4" width="14.109999656677246" hidden="0" customWidth="1"/>
    <x:col min="5" max="5" width="14.109999656677246" hidden="0" customWidth="1"/>
    <x:col min="6" max="6" width="25.149999618530273" hidden="0" customWidth="1"/>
  </x:cols>
  <x:sheetData>
    <x:row r="1" ht="27" customHeight="1">
      <x:c r="A1" s="17" t="str">
        <x:v>客户 ROI 计算器</x:v>
      </x:c>
      <x:c r="B1" s="17" t="str">
        <x:v>客户 ROI 计算器</x:v>
      </x:c>
      <x:c r="C1" s="17" t="str">
        <x:v>客户 ROI 计算器</x:v>
      </x:c>
      <x:c r="D1" s="17" t="str">
        <x:v>客户 ROI 计算器</x:v>
      </x:c>
      <x:c r="E1" s="17" t="str">
        <x:v>客户 ROI 计算器</x:v>
      </x:c>
      <x:c r="F1" s="17" t="str">
        <x:v>客户 ROI 计算器</x:v>
      </x:c>
    </x:row>
    <x:row r="2">
      <x:c r="A2" s="18"/>
      <x:c r="B2" s="18"/>
      <x:c r="C2" s="18"/>
      <x:c r="D2" s="18"/>
      <x:c r="E2" s="18"/>
      <x:c r="F2" s="18"/>
    </x:row>
    <x:row r="3">
      <x:c r="A3" s="19" t="str">
        <x:v>Line Item</x:v>
      </x:c>
      <x:c r="B3" s="19" t="str">
        <x:v>Description</x:v>
      </x:c>
      <x:c r="C3" s="19" t="str">
        <x:v>Qty</x:v>
      </x:c>
      <x:c r="D3" s="19" t="str">
        <x:v>Unit Price</x:v>
      </x:c>
      <x:c r="E3" s="19" t="str">
        <x:v>Total</x:v>
      </x:c>
      <x:c r="F3" s="19" t="str">
        <x:v>Notes</x:v>
      </x:c>
    </x:row>
    <x:row r="4">
      <x:c r="A4" s="18" t="str">
        <x:v>Implementation</x:v>
      </x:c>
      <x:c r="B4" s="18" t="str">
        <x:v>Initial setup and onboarding</x:v>
      </x:c>
      <x:c r="C4" s="18" t="n">
        <x:v>1</x:v>
      </x:c>
      <x:c r="D4" s="21" t="n">
        <x:v>5000</x:v>
      </x:c>
      <x:c r="E4" s="21" t="n">
        <x:f>C4*D4</x:f>
        <x:v>5000</x:v>
      </x:c>
      <x:c r="F4" s="18" t="str"/>
    </x:row>
    <x:row r="5">
      <x:c r="A5" s="18" t="str">
        <x:v>Subscription</x:v>
      </x:c>
      <x:c r="B5" s="18" t="str">
        <x:v>Monthly core package</x:v>
      </x:c>
      <x:c r="C5" s="18" t="n">
        <x:v>12</x:v>
      </x:c>
      <x:c r="D5" s="21" t="n">
        <x:v>299</x:v>
      </x:c>
      <x:c r="E5" s="21" t="n">
        <x:f>C5*D5</x:f>
        <x:v>3588</x:v>
      </x:c>
      <x:c r="F5" s="18" t="str"/>
    </x:row>
    <x:row r="6">
      <x:c r="A6" s="18" t="str">
        <x:v>Premium Support</x:v>
      </x:c>
      <x:c r="B6" s="18" t="str">
        <x:v>Optional support retainer</x:v>
      </x:c>
      <x:c r="C6" s="18" t="n">
        <x:v>12</x:v>
      </x:c>
      <x:c r="D6" s="21" t="n">
        <x:v>500</x:v>
      </x:c>
      <x:c r="E6" s="21" t="n">
        <x:f>C6*D6</x:f>
        <x:v>6000</x:v>
      </x:c>
      <x:c r="F6" s="18" t="str"/>
    </x:row>
    <x:row r="7">
      <x:c r="A7" s="18" t="str">
        <x:v>Annual Benefit</x:v>
      </x:c>
      <x:c r="B7" s="18" t="str">
        <x:v>Time savings, risk reduction, or revenue lift</x:v>
      </x:c>
      <x:c r="C7" s="18" t="n">
        <x:v>1</x:v>
      </x:c>
      <x:c r="D7" s="21" t="n">
        <x:v>50000</x:v>
      </x:c>
      <x:c r="E7" s="21" t="n">
        <x:f>C7*D7</x:f>
        <x:v>50000</x:v>
      </x:c>
      <x:c r="F7" s="18" t="str">
        <x:v>Customer-adjustable</x:v>
      </x:c>
    </x:row>
    <x:row r="8">
      <x:c r="A8" s="18" t="str">
        <x:v>Annual Cost</x:v>
      </x:c>
      <x:c r="B8" s="18" t="str">
        <x:v>Implementation + subscription + support</x:v>
      </x:c>
      <x:c r="C8" s="18" t="n">
        <x:v>1</x:v>
      </x:c>
      <x:c r="D8" s="21"/>
      <x:c r="E8" s="21" t="n">
        <x:f>SUM(E4:E6)</x:f>
        <x:v>14588</x:v>
      </x:c>
      <x:c r="F8" s="18" t="str"/>
    </x:row>
    <x:row r="9">
      <x:c r="A9" s="18" t="str">
        <x:v>Net Benefit</x:v>
      </x:c>
      <x:c r="B9" s="18" t="str">
        <x:v>Annual benefit less annual cost</x:v>
      </x:c>
      <x:c r="C9" s="18" t="n">
        <x:v>1</x:v>
      </x:c>
      <x:c r="D9" s="21"/>
      <x:c r="E9" s="21" t="n">
        <x:f>E7-E8</x:f>
        <x:v>35412</x:v>
      </x:c>
      <x:c r="F9" s="18" t="str"/>
    </x:row>
    <x:row r="10">
      <x:c r="A10" s="18" t="str">
        <x:v>ROI</x:v>
      </x:c>
      <x:c r="B10" s="18" t="str">
        <x:v>Net benefit divided by annual cost</x:v>
      </x:c>
      <x:c r="C10" s="18" t="n">
        <x:v>1</x:v>
      </x:c>
      <x:c r="D10" s="18"/>
      <x:c r="E10" s="29" t="n">
        <x:f>E9/E8</x:f>
        <x:v>2.4274746366876885</x:v>
      </x:c>
      <x:c r="F10" s="18" t="str"/>
    </x:row>
    <x:row r="11">
      <x:c r="A11" s="18"/>
      <x:c r="B11" s="18"/>
      <x:c r="C11" s="18"/>
      <x:c r="D11" s="18"/>
      <x:c r="E11" s="18"/>
      <x:c r="F11" s="18"/>
    </x:row>
    <x:row r="12">
      <x:c r="A12" s="26" t="str">
        <x:v>Close Plan</x:v>
      </x:c>
      <x:c r="B12" s="26" t="str">
        <x:v>Decision Maker</x:v>
      </x:c>
      <x:c r="C12" s="26" t="str">
        <x:v>Procurement Path</x:v>
      </x:c>
      <x:c r="D12" s="26" t="str">
        <x:v>Start Date</x:v>
      </x:c>
      <x:c r="E12" s="26" t="str">
        <x:v>Next Meeting</x:v>
      </x:c>
      <x:c r="F12" s="26" t="str">
        <x:v>Status</x:v>
      </x:c>
    </x:row>
    <x:row r="13">
      <x:c r="A13" s="18" t="str"/>
      <x:c r="B13" s="18" t="str"/>
      <x:c r="C13" s="18" t="str"/>
      <x:c r="D13" s="18" t="str"/>
      <x:c r="E13" s="18" t="str"/>
      <x:c r="F13" s="18" t="str">
        <x:v>Draft</x:v>
      </x:c>
    </x:row>
    <x:row r="14">
      <x:c r="A14" s="18" t="str"/>
      <x:c r="B14" s="18" t="str"/>
      <x:c r="C14" s="18" t="str"/>
      <x:c r="D14" s="18" t="str"/>
      <x:c r="E14" s="18" t="str"/>
      <x:c r="F14" s="18" t="str">
        <x:v>Draft</x:v>
      </x:c>
    </x:row>
    <x:row r="15">
      <x:c r="A15" s="18" t="str"/>
      <x:c r="B15" s="18" t="str"/>
      <x:c r="C15" s="18" t="str"/>
      <x:c r="D15" s="18" t="str"/>
      <x:c r="E15" s="18" t="str"/>
      <x:c r="F15" s="18" t="str">
        <x:v>Draft</x:v>
      </x:c>
    </x:row>
  </x:sheetData>
  <x:mergeCells>
    <x:mergeCell ref="A1:F1"/>
  </x:mergeCells>
  <x:dataValidations count="1">
    <x:dataValidation type="list" sqref="F13:F15">
      <x:formula1>"Not Started,Draft,In Progress,Blocked,Ready,Done"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79378d7efa487d"/>
  </x:tableParts>
</x:worksheet>
</file>